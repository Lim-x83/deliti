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kenri\Downloads\Project Komputer\"/>
    </mc:Choice>
  </mc:AlternateContent>
  <xr:revisionPtr revIDLastSave="0" documentId="13_ncr:1_{3B0EB801-8286-41AE-B3F8-3FD042E9E580}" xr6:coauthVersionLast="47" xr6:coauthVersionMax="47" xr10:uidLastSave="{00000000-0000-0000-0000-000000000000}"/>
  <bookViews>
    <workbookView xWindow="-108" yWindow="-108" windowWidth="23256" windowHeight="13176" tabRatio="725" activeTab="5" xr2:uid="{00000000-000D-0000-FFFF-FFFF00000000}"/>
  </bookViews>
  <sheets>
    <sheet name="Startup Cost" sheetId="1" r:id="rId1"/>
    <sheet name="Expense Forecast" sheetId="3" r:id="rId2"/>
    <sheet name="Sales Forecast" sheetId="6" r:id="rId3"/>
    <sheet name="Profit &amp; Loss Projection" sheetId="4" r:id="rId4"/>
    <sheet name="Break-even Analysis" sheetId="5" r:id="rId5"/>
    <sheet name="Calculation Cooking Ingredient" sheetId="8" r:id="rId6"/>
  </sheets>
  <calcPr calcId="191029"/>
</workbook>
</file>

<file path=xl/calcChain.xml><?xml version="1.0" encoding="utf-8"?>
<calcChain xmlns="http://schemas.openxmlformats.org/spreadsheetml/2006/main">
  <c r="J12" i="1" l="1"/>
  <c r="M13" i="6"/>
  <c r="N13" i="6"/>
  <c r="O13" i="6"/>
  <c r="R13" i="6" s="1"/>
  <c r="P13" i="6"/>
  <c r="Q13" i="6"/>
  <c r="M14" i="6"/>
  <c r="R14" i="6" s="1"/>
  <c r="N14" i="6"/>
  <c r="O14" i="6"/>
  <c r="P14" i="6"/>
  <c r="Q14" i="6"/>
  <c r="E19" i="1"/>
  <c r="E11" i="1"/>
  <c r="E12" i="1"/>
  <c r="E13" i="1"/>
  <c r="E14" i="1"/>
  <c r="E15" i="1"/>
  <c r="E16" i="1"/>
  <c r="E17" i="1"/>
  <c r="E18" i="1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11" i="8"/>
  <c r="O10" i="8"/>
  <c r="H29" i="8"/>
  <c r="H30" i="8"/>
  <c r="H31" i="8"/>
  <c r="H32" i="8"/>
  <c r="H33" i="8"/>
  <c r="H34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11" i="8"/>
  <c r="H10" i="8"/>
  <c r="F14" i="3" l="1"/>
  <c r="F15" i="3" s="1"/>
  <c r="F16" i="3" s="1"/>
  <c r="F13" i="3"/>
  <c r="E13" i="3"/>
  <c r="E14" i="3"/>
  <c r="E15" i="3" s="1"/>
  <c r="D14" i="3"/>
  <c r="D13" i="3"/>
  <c r="C13" i="3"/>
  <c r="C14" i="3"/>
  <c r="D10" i="4"/>
  <c r="D15" i="6"/>
  <c r="N15" i="6" s="1"/>
  <c r="E15" i="6"/>
  <c r="O15" i="6" s="1"/>
  <c r="F15" i="6"/>
  <c r="P15" i="6" s="1"/>
  <c r="G15" i="6"/>
  <c r="C15" i="6"/>
  <c r="M15" i="6" s="1"/>
  <c r="J11" i="1"/>
  <c r="J13" i="1" s="1"/>
  <c r="E20" i="1"/>
  <c r="G16" i="6" l="1"/>
  <c r="Q15" i="6"/>
  <c r="R15" i="6" s="1"/>
  <c r="D11" i="4" s="1"/>
  <c r="F11" i="4" s="1"/>
  <c r="F10" i="4"/>
  <c r="G13" i="3"/>
  <c r="E9" i="4" s="1"/>
  <c r="C16" i="6"/>
  <c r="M16" i="6" s="1"/>
  <c r="D9" i="4"/>
  <c r="F16" i="6"/>
  <c r="P16" i="6" s="1"/>
  <c r="G14" i="3"/>
  <c r="E10" i="4" s="1"/>
  <c r="C15" i="3"/>
  <c r="C16" i="3" s="1"/>
  <c r="G16" i="3" s="1"/>
  <c r="E12" i="4" s="1"/>
  <c r="E16" i="3"/>
  <c r="E17" i="3" s="1"/>
  <c r="D15" i="3"/>
  <c r="D16" i="3" s="1"/>
  <c r="F17" i="3"/>
  <c r="D16" i="6"/>
  <c r="N16" i="6" s="1"/>
  <c r="E16" i="6"/>
  <c r="O16" i="6" s="1"/>
  <c r="E21" i="1"/>
  <c r="G17" i="6" l="1"/>
  <c r="Q17" i="6" s="1"/>
  <c r="Q16" i="6"/>
  <c r="R16" i="6" s="1"/>
  <c r="G18" i="6"/>
  <c r="Q18" i="6" s="1"/>
  <c r="D25" i="1"/>
  <c r="C17" i="3"/>
  <c r="C18" i="3" s="1"/>
  <c r="C17" i="6"/>
  <c r="M17" i="6" s="1"/>
  <c r="G19" i="6"/>
  <c r="Q19" i="6" s="1"/>
  <c r="D17" i="6"/>
  <c r="N17" i="6" s="1"/>
  <c r="G15" i="3"/>
  <c r="E11" i="4" s="1"/>
  <c r="F17" i="6"/>
  <c r="P17" i="6" s="1"/>
  <c r="D17" i="3"/>
  <c r="D18" i="3" s="1"/>
  <c r="D19" i="3" s="1"/>
  <c r="F18" i="3"/>
  <c r="E18" i="3"/>
  <c r="E19" i="3" s="1"/>
  <c r="D18" i="6"/>
  <c r="N18" i="6" s="1"/>
  <c r="E17" i="6"/>
  <c r="O17" i="6" s="1"/>
  <c r="R17" i="6" l="1"/>
  <c r="G20" i="6"/>
  <c r="Q20" i="6" s="1"/>
  <c r="F9" i="4"/>
  <c r="F18" i="6"/>
  <c r="P18" i="6" s="1"/>
  <c r="G18" i="3"/>
  <c r="E14" i="4" s="1"/>
  <c r="G21" i="6"/>
  <c r="Q21" i="6" s="1"/>
  <c r="C18" i="6"/>
  <c r="M18" i="6" s="1"/>
  <c r="E18" i="6"/>
  <c r="O18" i="6" s="1"/>
  <c r="D19" i="6"/>
  <c r="N19" i="6" s="1"/>
  <c r="C19" i="3"/>
  <c r="C20" i="3" s="1"/>
  <c r="G17" i="3"/>
  <c r="E13" i="4" s="1"/>
  <c r="D12" i="4"/>
  <c r="F12" i="4" s="1"/>
  <c r="F19" i="3"/>
  <c r="G19" i="3" s="1"/>
  <c r="E15" i="4" s="1"/>
  <c r="E20" i="3"/>
  <c r="E21" i="3" s="1"/>
  <c r="D20" i="3"/>
  <c r="E19" i="6" l="1"/>
  <c r="O19" i="6" s="1"/>
  <c r="G22" i="6"/>
  <c r="Q22" i="6" s="1"/>
  <c r="C21" i="3"/>
  <c r="C22" i="3" s="1"/>
  <c r="C23" i="3" s="1"/>
  <c r="C24" i="3" s="1"/>
  <c r="C27" i="3" s="1"/>
  <c r="C19" i="6"/>
  <c r="M19" i="6" s="1"/>
  <c r="D13" i="4"/>
  <c r="F13" i="4" s="1"/>
  <c r="F19" i="6"/>
  <c r="P19" i="6" s="1"/>
  <c r="D20" i="6"/>
  <c r="N20" i="6" s="1"/>
  <c r="E20" i="6"/>
  <c r="O20" i="6" s="1"/>
  <c r="F20" i="3"/>
  <c r="E22" i="3"/>
  <c r="E23" i="3" s="1"/>
  <c r="D21" i="3"/>
  <c r="D21" i="6"/>
  <c r="N21" i="6" s="1"/>
  <c r="G23" i="6"/>
  <c r="Q23" i="6" s="1"/>
  <c r="E21" i="6" l="1"/>
  <c r="O21" i="6" s="1"/>
  <c r="C20" i="6"/>
  <c r="M20" i="6" s="1"/>
  <c r="G24" i="6"/>
  <c r="Q24" i="6" s="1"/>
  <c r="F21" i="6"/>
  <c r="P21" i="6" s="1"/>
  <c r="F20" i="6"/>
  <c r="P20" i="6" s="1"/>
  <c r="R18" i="6"/>
  <c r="D14" i="4" s="1"/>
  <c r="F14" i="4" s="1"/>
  <c r="E22" i="6"/>
  <c r="O22" i="6" s="1"/>
  <c r="C21" i="6"/>
  <c r="M21" i="6" s="1"/>
  <c r="F21" i="3"/>
  <c r="G21" i="3" s="1"/>
  <c r="E17" i="4" s="1"/>
  <c r="G20" i="3"/>
  <c r="E16" i="4" s="1"/>
  <c r="E24" i="3"/>
  <c r="E27" i="3" s="1"/>
  <c r="D22" i="3"/>
  <c r="D23" i="3" s="1"/>
  <c r="D24" i="3" s="1"/>
  <c r="D27" i="3" s="1"/>
  <c r="D22" i="6"/>
  <c r="N22" i="6" s="1"/>
  <c r="R19" i="6" l="1"/>
  <c r="D15" i="4" s="1"/>
  <c r="F15" i="4" s="1"/>
  <c r="E23" i="6"/>
  <c r="O23" i="6" s="1"/>
  <c r="Q33" i="6"/>
  <c r="D23" i="6"/>
  <c r="N23" i="6" s="1"/>
  <c r="F22" i="6"/>
  <c r="C22" i="6"/>
  <c r="M22" i="6" s="1"/>
  <c r="F22" i="3"/>
  <c r="F23" i="3" s="1"/>
  <c r="F23" i="6" l="1"/>
  <c r="P23" i="6" s="1"/>
  <c r="P22" i="6"/>
  <c r="R22" i="6" s="1"/>
  <c r="D18" i="4" s="1"/>
  <c r="F18" i="4" s="1"/>
  <c r="E24" i="6"/>
  <c r="C23" i="6"/>
  <c r="F24" i="6"/>
  <c r="D24" i="6"/>
  <c r="R21" i="6"/>
  <c r="D17" i="4" s="1"/>
  <c r="F17" i="4" s="1"/>
  <c r="R20" i="6"/>
  <c r="D16" i="4" s="1"/>
  <c r="F16" i="4" s="1"/>
  <c r="G22" i="3"/>
  <c r="E18" i="4" s="1"/>
  <c r="F24" i="3"/>
  <c r="G23" i="3"/>
  <c r="E19" i="4" s="1"/>
  <c r="N33" i="6" l="1"/>
  <c r="N24" i="6"/>
  <c r="P24" i="6"/>
  <c r="P33" i="6" s="1"/>
  <c r="O33" i="6"/>
  <c r="O24" i="6"/>
  <c r="M23" i="6"/>
  <c r="R23" i="6" s="1"/>
  <c r="D19" i="4" s="1"/>
  <c r="F19" i="4" s="1"/>
  <c r="C24" i="6"/>
  <c r="M24" i="6" s="1"/>
  <c r="G24" i="3"/>
  <c r="E20" i="4" s="1"/>
  <c r="F27" i="3"/>
  <c r="C28" i="3" s="1"/>
  <c r="R24" i="6" l="1"/>
  <c r="D20" i="4" s="1"/>
  <c r="F20" i="4" s="1"/>
  <c r="F22" i="4" s="1"/>
  <c r="M33" i="6"/>
  <c r="M34" i="6" s="1"/>
</calcChain>
</file>

<file path=xl/sharedStrings.xml><?xml version="1.0" encoding="utf-8"?>
<sst xmlns="http://schemas.openxmlformats.org/spreadsheetml/2006/main" count="136" uniqueCount="101">
  <si>
    <t>Month</t>
  </si>
  <si>
    <t>Revenue</t>
  </si>
  <si>
    <t>Expenses</t>
  </si>
  <si>
    <t>Net Profit</t>
  </si>
  <si>
    <t>ITEM NAME</t>
  </si>
  <si>
    <t>QUANTITY</t>
  </si>
  <si>
    <t>UNIT PRICE</t>
  </si>
  <si>
    <t>TOTAL</t>
  </si>
  <si>
    <t>alat masak</t>
  </si>
  <si>
    <t>meja</t>
  </si>
  <si>
    <t>Tool</t>
  </si>
  <si>
    <t>Lisence</t>
  </si>
  <si>
    <t>Dapur</t>
  </si>
  <si>
    <t xml:space="preserve">Total Cabang : </t>
  </si>
  <si>
    <t>Startup Cost</t>
  </si>
  <si>
    <t xml:space="preserve">Total : </t>
  </si>
  <si>
    <t xml:space="preserve">Total Biaya : </t>
  </si>
  <si>
    <t>Unit Sold</t>
  </si>
  <si>
    <t>Monthly Pass</t>
  </si>
  <si>
    <t>Healthy Meals</t>
  </si>
  <si>
    <t>Weekly Pass</t>
  </si>
  <si>
    <t>Sales ForeCast</t>
  </si>
  <si>
    <t>Vegetarian Meals</t>
  </si>
  <si>
    <t>Beast Meals</t>
  </si>
  <si>
    <t>Price Per unit</t>
  </si>
  <si>
    <t>Expense Forecast</t>
  </si>
  <si>
    <t>Cooking Staff</t>
  </si>
  <si>
    <t>Expense ForeCast</t>
  </si>
  <si>
    <t>Admin Kitchen</t>
  </si>
  <si>
    <t>Ingridient</t>
  </si>
  <si>
    <t>Cooking Saff</t>
  </si>
  <si>
    <t>Based</t>
  </si>
  <si>
    <t>Increasement</t>
  </si>
  <si>
    <t>Sys</t>
  </si>
  <si>
    <t>Profit Data</t>
  </si>
  <si>
    <t>Calculation Cooking Ingredient</t>
  </si>
  <si>
    <t>NO.</t>
  </si>
  <si>
    <t>Ingredients</t>
  </si>
  <si>
    <t>Ingredient</t>
  </si>
  <si>
    <t>Tomato</t>
  </si>
  <si>
    <t>Broccoli</t>
  </si>
  <si>
    <t>Chilli</t>
  </si>
  <si>
    <t>Potato</t>
  </si>
  <si>
    <t>Egg</t>
  </si>
  <si>
    <t>Garlic</t>
  </si>
  <si>
    <t>Red Onion</t>
  </si>
  <si>
    <t>Cucumber</t>
  </si>
  <si>
    <t>Parsley Leaves</t>
  </si>
  <si>
    <t>Soup Leaves</t>
  </si>
  <si>
    <t xml:space="preserve">Lettuce </t>
  </si>
  <si>
    <t>Carrot</t>
  </si>
  <si>
    <t>Corn</t>
  </si>
  <si>
    <t>Long Beans</t>
  </si>
  <si>
    <t>Mustard leaves</t>
  </si>
  <si>
    <t>Cooking Oil</t>
  </si>
  <si>
    <t>Mayonnaise</t>
  </si>
  <si>
    <t>Sesame Oil</t>
  </si>
  <si>
    <t xml:space="preserve">Mustard </t>
  </si>
  <si>
    <t>Turmeric</t>
  </si>
  <si>
    <t>Ginger</t>
  </si>
  <si>
    <t>Galangal</t>
  </si>
  <si>
    <t>Total</t>
  </si>
  <si>
    <t>Sesame Seeds</t>
  </si>
  <si>
    <t>Seaweed</t>
  </si>
  <si>
    <t>Peanut Sauce</t>
  </si>
  <si>
    <t>Tomato Sauce</t>
  </si>
  <si>
    <t>Chilli Sauce</t>
  </si>
  <si>
    <t>Cheese</t>
  </si>
  <si>
    <t>Oat</t>
  </si>
  <si>
    <t xml:space="preserve">Purple Cabbage </t>
  </si>
  <si>
    <t>Tortilla Shell</t>
  </si>
  <si>
    <t>Roasted Sesame Mayonnaise</t>
  </si>
  <si>
    <t>Beef</t>
  </si>
  <si>
    <t>Oyster Mushroom</t>
  </si>
  <si>
    <t>Tofu</t>
  </si>
  <si>
    <t>Avocado</t>
  </si>
  <si>
    <t>Strawberry</t>
  </si>
  <si>
    <t>Oyster Sauce</t>
  </si>
  <si>
    <t>Mushroom Broth</t>
  </si>
  <si>
    <t>Salt</t>
  </si>
  <si>
    <t>Fish</t>
  </si>
  <si>
    <t>Green Tea</t>
  </si>
  <si>
    <t>Vegetable Oil</t>
  </si>
  <si>
    <t>Tempe</t>
  </si>
  <si>
    <t>Milk</t>
  </si>
  <si>
    <t>Butter</t>
  </si>
  <si>
    <t>Spinach</t>
  </si>
  <si>
    <t>Paprika</t>
  </si>
  <si>
    <t>Peas</t>
  </si>
  <si>
    <t>Almond</t>
  </si>
  <si>
    <t>Price (kg)</t>
  </si>
  <si>
    <t>Amount (kg)</t>
  </si>
  <si>
    <t>kompor</t>
  </si>
  <si>
    <t>pisau</t>
  </si>
  <si>
    <t>alas pisau</t>
  </si>
  <si>
    <t>panci</t>
  </si>
  <si>
    <t>kuali</t>
  </si>
  <si>
    <t>wastafel</t>
  </si>
  <si>
    <t>kipas</t>
  </si>
  <si>
    <t>sarung tangan</t>
  </si>
  <si>
    <t>Listrik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</si>
</sst>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Rp&quot;* #,##0_-;\-&quot;Rp&quot;* #,##0_-;_-&quot;Rp&quot;* &quot;-&quot;_-;_-@_-"/>
    <numFmt numFmtId="44" formatCode="_-&quot;Rp&quot;* #,##0.00_-;\-&quot;Rp&quot;* #,##0.00_-;_-&quot;Rp&quot;* &quot;-&quot;??_-;_-@_-"/>
    <numFmt numFmtId="164" formatCode="_-&quot;Rp&quot;* #,##0_-;\-&quot;Rp&quot;* #,##0_-;_-&quot;Rp&quot;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Bookman Old Style"/>
      <family val="1"/>
    </font>
    <font>
      <sz val="11"/>
      <color theme="0" tint="-0.1499984740745262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6"/>
      <color theme="1"/>
      <name val="Akira Expanded"/>
      <family val="3"/>
    </font>
    <font>
      <b/>
      <sz val="18"/>
      <color theme="1"/>
      <name val="Akira Expanded"/>
      <family val="3"/>
    </font>
    <font>
      <sz val="11"/>
      <color theme="1"/>
      <name val="Bahnschrift Light SemiCondensed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09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42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2" borderId="10" xfId="0" applyFill="1" applyBorder="1" applyAlignment="1">
      <alignment horizontal="center" vertical="center"/>
    </xf>
    <xf numFmtId="42" fontId="0" fillId="2" borderId="10" xfId="0" applyNumberForma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42" fontId="2" fillId="2" borderId="10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2" fontId="2" fillId="2" borderId="11" xfId="0" applyNumberFormat="1" applyFont="1" applyFill="1" applyBorder="1" applyAlignment="1">
      <alignment horizontal="right" vertical="center"/>
    </xf>
    <xf numFmtId="42" fontId="2" fillId="2" borderId="11" xfId="0" applyNumberFormat="1" applyFont="1" applyFill="1" applyBorder="1" applyAlignment="1">
      <alignment horizontal="center" vertical="center"/>
    </xf>
    <xf numFmtId="42" fontId="0" fillId="2" borderId="0" xfId="0" applyNumberFormat="1" applyFill="1" applyAlignment="1">
      <alignment vertical="center"/>
    </xf>
    <xf numFmtId="44" fontId="0" fillId="2" borderId="0" xfId="1" applyFont="1" applyFill="1" applyAlignment="1">
      <alignment horizontal="center" vertical="center"/>
    </xf>
    <xf numFmtId="44" fontId="0" fillId="2" borderId="10" xfId="1" applyFont="1" applyFill="1" applyBorder="1" applyAlignment="1">
      <alignment horizontal="center" vertical="center"/>
    </xf>
    <xf numFmtId="44" fontId="0" fillId="2" borderId="0" xfId="1" applyFont="1" applyFill="1" applyBorder="1" applyAlignment="1">
      <alignment horizontal="center" vertical="center"/>
    </xf>
    <xf numFmtId="0" fontId="0" fillId="2" borderId="0" xfId="0" applyNumberFormat="1" applyFill="1" applyBorder="1" applyAlignment="1">
      <alignment horizontal="center" vertical="center"/>
    </xf>
    <xf numFmtId="0" fontId="0" fillId="2" borderId="0" xfId="0" applyNumberFormat="1" applyFill="1" applyAlignment="1">
      <alignment horizontal="center" vertical="center"/>
    </xf>
    <xf numFmtId="44" fontId="2" fillId="2" borderId="0" xfId="1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0" fillId="5" borderId="0" xfId="0" applyNumberFormat="1" applyFill="1" applyBorder="1" applyAlignment="1">
      <alignment horizontal="center" vertical="center"/>
    </xf>
    <xf numFmtId="0" fontId="0" fillId="2" borderId="0" xfId="0" applyNumberFormat="1" applyFill="1" applyBorder="1" applyAlignment="1">
      <alignment horizontal="right" vertical="center"/>
    </xf>
    <xf numFmtId="0" fontId="0" fillId="2" borderId="10" xfId="0" applyNumberFormat="1" applyFill="1" applyBorder="1" applyAlignment="1">
      <alignment horizontal="center" vertical="center"/>
    </xf>
    <xf numFmtId="44" fontId="4" fillId="2" borderId="0" xfId="0" applyNumberFormat="1" applyFont="1" applyFill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8" borderId="0" xfId="2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44" fontId="0" fillId="2" borderId="0" xfId="1" applyFont="1" applyFill="1" applyAlignment="1">
      <alignment vertical="center"/>
    </xf>
    <xf numFmtId="42" fontId="0" fillId="2" borderId="0" xfId="1" applyNumberFormat="1" applyFont="1" applyFill="1" applyAlignment="1">
      <alignment horizontal="center" vertical="center"/>
    </xf>
    <xf numFmtId="42" fontId="2" fillId="3" borderId="10" xfId="1" applyNumberFormat="1" applyFont="1" applyFill="1" applyBorder="1" applyAlignment="1">
      <alignment horizontal="center" vertical="center"/>
    </xf>
    <xf numFmtId="42" fontId="0" fillId="2" borderId="10" xfId="1" applyNumberFormat="1" applyFont="1" applyFill="1" applyBorder="1" applyAlignment="1">
      <alignment horizontal="center" vertical="center"/>
    </xf>
    <xf numFmtId="42" fontId="0" fillId="2" borderId="0" xfId="1" applyNumberFormat="1" applyFont="1" applyFill="1" applyAlignment="1">
      <alignment horizontal="right" vertical="center"/>
    </xf>
    <xf numFmtId="42" fontId="0" fillId="4" borderId="14" xfId="1" applyNumberFormat="1" applyFont="1" applyFill="1" applyBorder="1" applyAlignment="1">
      <alignment horizontal="center" vertical="center"/>
    </xf>
    <xf numFmtId="42" fontId="0" fillId="2" borderId="0" xfId="1" applyNumberFormat="1" applyFont="1" applyFill="1" applyBorder="1" applyAlignment="1">
      <alignment horizontal="center" vertical="center"/>
    </xf>
    <xf numFmtId="42" fontId="0" fillId="5" borderId="0" xfId="1" applyNumberFormat="1" applyFont="1" applyFill="1" applyBorder="1" applyAlignment="1">
      <alignment horizontal="center" vertical="center"/>
    </xf>
    <xf numFmtId="42" fontId="2" fillId="2" borderId="0" xfId="1" applyNumberFormat="1" applyFont="1" applyFill="1" applyBorder="1" applyAlignment="1">
      <alignment horizontal="center" vertical="center"/>
    </xf>
    <xf numFmtId="42" fontId="0" fillId="4" borderId="14" xfId="0" applyNumberFormat="1" applyFill="1" applyBorder="1" applyAlignment="1">
      <alignment horizontal="center" vertical="center"/>
    </xf>
    <xf numFmtId="42" fontId="0" fillId="4" borderId="14" xfId="0" applyNumberFormat="1" applyFont="1" applyFill="1" applyBorder="1" applyAlignment="1">
      <alignment horizontal="center" vertical="center"/>
    </xf>
    <xf numFmtId="42" fontId="0" fillId="2" borderId="0" xfId="0" applyNumberFormat="1" applyFill="1" applyBorder="1" applyAlignment="1">
      <alignment horizontal="center" vertical="center"/>
    </xf>
    <xf numFmtId="42" fontId="0" fillId="5" borderId="0" xfId="0" applyNumberFormat="1" applyFill="1" applyBorder="1" applyAlignment="1">
      <alignment horizontal="center" vertical="center"/>
    </xf>
    <xf numFmtId="42" fontId="2" fillId="8" borderId="10" xfId="0" applyNumberFormat="1" applyFont="1" applyFill="1" applyBorder="1" applyAlignment="1">
      <alignment horizontal="center" vertical="center"/>
    </xf>
    <xf numFmtId="42" fontId="2" fillId="8" borderId="10" xfId="1" applyNumberFormat="1" applyFont="1" applyFill="1" applyBorder="1" applyAlignment="1">
      <alignment horizontal="center" vertical="center"/>
    </xf>
    <xf numFmtId="42" fontId="0" fillId="7" borderId="0" xfId="0" applyNumberFormat="1" applyFill="1" applyAlignment="1">
      <alignment horizontal="center" vertical="center"/>
    </xf>
    <xf numFmtId="42" fontId="0" fillId="7" borderId="0" xfId="1" applyNumberFormat="1" applyFont="1" applyFill="1" applyAlignment="1">
      <alignment horizontal="center" vertical="center"/>
    </xf>
    <xf numFmtId="42" fontId="0" fillId="8" borderId="0" xfId="0" applyNumberFormat="1" applyFill="1" applyAlignment="1">
      <alignment horizontal="center" vertical="center"/>
    </xf>
    <xf numFmtId="42" fontId="0" fillId="8" borderId="0" xfId="1" applyNumberFormat="1" applyFont="1" applyFill="1" applyAlignment="1">
      <alignment horizontal="center" vertical="center"/>
    </xf>
    <xf numFmtId="0" fontId="0" fillId="2" borderId="0" xfId="1" applyNumberFormat="1" applyFont="1" applyFill="1" applyAlignment="1">
      <alignment horizontal="center" vertical="center"/>
    </xf>
    <xf numFmtId="0" fontId="0" fillId="4" borderId="14" xfId="0" applyNumberFormat="1" applyFill="1" applyBorder="1" applyAlignment="1">
      <alignment horizontal="center" vertical="center"/>
    </xf>
    <xf numFmtId="0" fontId="0" fillId="4" borderId="14" xfId="1" applyNumberFormat="1" applyFont="1" applyFill="1" applyBorder="1" applyAlignment="1">
      <alignment horizontal="center" vertical="center"/>
    </xf>
    <xf numFmtId="0" fontId="0" fillId="4" borderId="14" xfId="0" applyNumberFormat="1" applyFont="1" applyFill="1" applyBorder="1" applyAlignment="1">
      <alignment horizontal="center" vertical="center"/>
    </xf>
    <xf numFmtId="0" fontId="0" fillId="2" borderId="0" xfId="1" applyNumberFormat="1" applyFont="1" applyFill="1" applyBorder="1" applyAlignment="1">
      <alignment horizontal="center" vertical="center"/>
    </xf>
    <xf numFmtId="42" fontId="2" fillId="2" borderId="10" xfId="1" applyNumberFormat="1" applyFont="1" applyFill="1" applyBorder="1" applyAlignment="1">
      <alignment horizontal="center" vertical="center"/>
    </xf>
    <xf numFmtId="42" fontId="2" fillId="2" borderId="11" xfId="1" applyNumberFormat="1" applyFont="1" applyFill="1" applyBorder="1" applyAlignment="1">
      <alignment horizontal="right" vertical="center"/>
    </xf>
    <xf numFmtId="42" fontId="2" fillId="2" borderId="11" xfId="1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right" vertical="center"/>
    </xf>
    <xf numFmtId="42" fontId="2" fillId="2" borderId="10" xfId="0" applyNumberFormat="1" applyFont="1" applyFill="1" applyBorder="1" applyAlignment="1">
      <alignment vertical="center"/>
    </xf>
    <xf numFmtId="0" fontId="8" fillId="2" borderId="10" xfId="0" applyFont="1" applyFill="1" applyBorder="1" applyAlignment="1">
      <alignment horizontal="center" vertical="center"/>
    </xf>
    <xf numFmtId="42" fontId="8" fillId="2" borderId="10" xfId="0" applyNumberFormat="1" applyFont="1" applyFill="1" applyBorder="1" applyAlignment="1">
      <alignment horizontal="center" vertical="center"/>
    </xf>
    <xf numFmtId="42" fontId="8" fillId="2" borderId="10" xfId="1" applyNumberFormat="1" applyFont="1" applyFill="1" applyBorder="1" applyAlignment="1">
      <alignment horizontal="center" vertical="center"/>
    </xf>
    <xf numFmtId="42" fontId="8" fillId="2" borderId="0" xfId="1" applyNumberFormat="1" applyFont="1" applyFill="1" applyBorder="1" applyAlignment="1">
      <alignment horizontal="center" vertical="center"/>
    </xf>
    <xf numFmtId="42" fontId="8" fillId="5" borderId="0" xfId="1" applyNumberFormat="1" applyFont="1" applyFill="1" applyBorder="1" applyAlignment="1">
      <alignment horizontal="center" vertical="center"/>
    </xf>
    <xf numFmtId="0" fontId="8" fillId="2" borderId="0" xfId="0" applyNumberFormat="1" applyFont="1" applyFill="1" applyBorder="1" applyAlignment="1">
      <alignment horizontal="center" vertical="center"/>
    </xf>
    <xf numFmtId="0" fontId="8" fillId="2" borderId="0" xfId="1" applyNumberFormat="1" applyFont="1" applyFill="1" applyBorder="1" applyAlignment="1">
      <alignment horizontal="center" vertical="center"/>
    </xf>
    <xf numFmtId="0" fontId="8" fillId="5" borderId="0" xfId="0" applyNumberFormat="1" applyFont="1" applyFill="1" applyBorder="1" applyAlignment="1">
      <alignment horizontal="center" vertical="center"/>
    </xf>
    <xf numFmtId="0" fontId="8" fillId="5" borderId="0" xfId="1" applyNumberFormat="1" applyFont="1" applyFill="1" applyBorder="1" applyAlignment="1">
      <alignment horizontal="center" vertical="center"/>
    </xf>
    <xf numFmtId="42" fontId="8" fillId="2" borderId="0" xfId="0" applyNumberFormat="1" applyFont="1" applyFill="1" applyAlignment="1">
      <alignment horizontal="center" vertical="center"/>
    </xf>
    <xf numFmtId="42" fontId="0" fillId="2" borderId="10" xfId="1" applyNumberFormat="1" applyFont="1" applyFill="1" applyBorder="1" applyAlignment="1">
      <alignment horizontal="right" vertical="center"/>
    </xf>
    <xf numFmtId="42" fontId="8" fillId="2" borderId="0" xfId="0" applyNumberFormat="1" applyFont="1" applyFill="1" applyBorder="1" applyAlignment="1">
      <alignment horizontal="center" vertical="center"/>
    </xf>
    <xf numFmtId="42" fontId="8" fillId="2" borderId="0" xfId="1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right" vertical="center"/>
    </xf>
    <xf numFmtId="0" fontId="2" fillId="2" borderId="12" xfId="0" applyFont="1" applyFill="1" applyBorder="1" applyAlignment="1">
      <alignment horizontal="right" vertical="center"/>
    </xf>
    <xf numFmtId="0" fontId="2" fillId="2" borderId="13" xfId="0" applyFont="1" applyFill="1" applyBorder="1" applyAlignment="1">
      <alignment horizontal="right" vertical="center"/>
    </xf>
    <xf numFmtId="44" fontId="0" fillId="2" borderId="10" xfId="1" applyFont="1" applyFill="1" applyBorder="1" applyAlignment="1">
      <alignment horizontal="center" vertical="center"/>
    </xf>
    <xf numFmtId="0" fontId="7" fillId="2" borderId="2" xfId="0" applyNumberFormat="1" applyFont="1" applyFill="1" applyBorder="1" applyAlignment="1">
      <alignment horizontal="center" vertical="center"/>
    </xf>
    <xf numFmtId="0" fontId="7" fillId="2" borderId="3" xfId="0" applyNumberFormat="1" applyFont="1" applyFill="1" applyBorder="1" applyAlignment="1">
      <alignment horizontal="center" vertical="center"/>
    </xf>
    <xf numFmtId="0" fontId="7" fillId="2" borderId="4" xfId="0" applyNumberFormat="1" applyFont="1" applyFill="1" applyBorder="1" applyAlignment="1">
      <alignment horizontal="center" vertical="center"/>
    </xf>
    <xf numFmtId="0" fontId="7" fillId="2" borderId="5" xfId="0" applyNumberFormat="1" applyFont="1" applyFill="1" applyBorder="1" applyAlignment="1">
      <alignment horizontal="center" vertical="center"/>
    </xf>
    <xf numFmtId="0" fontId="7" fillId="2" borderId="1" xfId="0" applyNumberFormat="1" applyFont="1" applyFill="1" applyBorder="1" applyAlignment="1">
      <alignment horizontal="center" vertical="center"/>
    </xf>
    <xf numFmtId="0" fontId="7" fillId="2" borderId="6" xfId="0" applyNumberFormat="1" applyFont="1" applyFill="1" applyBorder="1" applyAlignment="1">
      <alignment horizontal="center" vertical="center"/>
    </xf>
    <xf numFmtId="0" fontId="2" fillId="3" borderId="10" xfId="0" applyNumberFormat="1" applyFont="1" applyFill="1" applyBorder="1" applyAlignment="1">
      <alignment horizontal="center" vertical="center"/>
    </xf>
    <xf numFmtId="0" fontId="2" fillId="3" borderId="14" xfId="0" applyNumberFormat="1" applyFont="1" applyFill="1" applyBorder="1" applyAlignment="1">
      <alignment horizontal="center" vertical="center"/>
    </xf>
    <xf numFmtId="42" fontId="2" fillId="3" borderId="12" xfId="1" applyNumberFormat="1" applyFont="1" applyFill="1" applyBorder="1" applyAlignment="1">
      <alignment horizontal="center" vertical="center"/>
    </xf>
    <xf numFmtId="42" fontId="2" fillId="3" borderId="9" xfId="1" applyNumberFormat="1" applyFont="1" applyFill="1" applyBorder="1" applyAlignment="1">
      <alignment horizontal="center" vertical="center"/>
    </xf>
    <xf numFmtId="42" fontId="2" fillId="3" borderId="13" xfId="1" applyNumberFormat="1" applyFont="1" applyFill="1" applyBorder="1" applyAlignment="1">
      <alignment horizontal="center" vertical="center"/>
    </xf>
    <xf numFmtId="42" fontId="2" fillId="3" borderId="10" xfId="1" applyNumberFormat="1" applyFont="1" applyFill="1" applyBorder="1" applyAlignment="1">
      <alignment horizontal="center" vertical="center"/>
    </xf>
    <xf numFmtId="42" fontId="2" fillId="3" borderId="10" xfId="0" applyNumberFormat="1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6" borderId="19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20" xfId="0" applyFont="1" applyFill="1" applyBorder="1" applyAlignment="1">
      <alignment horizontal="center" vertical="center"/>
    </xf>
  </cellXfs>
  <cellStyles count="3">
    <cellStyle name="Currency" xfId="1" builtinId="4"/>
    <cellStyle name="Hyperlink" xfId="2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Profit Graph data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80542818693848"/>
          <c:y val="0.14631163708086786"/>
          <c:w val="0.79491456640209135"/>
          <c:h val="0.83202161859945023"/>
        </c:manualLayout>
      </c:layout>
      <c:lineChart>
        <c:grouping val="stacke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'Profit &amp; Loss Projection'!$F$9:$F$20</c:f>
              <c:numCache>
                <c:formatCode>_("Rp"* #,##0_);_("Rp"* \(#,##0\);_("Rp"* "-"_);_(@_)</c:formatCode>
                <c:ptCount val="12"/>
                <c:pt idx="0">
                  <c:v>-8900000</c:v>
                </c:pt>
                <c:pt idx="1">
                  <c:v>-4435000</c:v>
                </c:pt>
                <c:pt idx="2">
                  <c:v>-2120000</c:v>
                </c:pt>
                <c:pt idx="3">
                  <c:v>195000</c:v>
                </c:pt>
                <c:pt idx="4">
                  <c:v>2510000</c:v>
                </c:pt>
                <c:pt idx="5">
                  <c:v>4825000</c:v>
                </c:pt>
                <c:pt idx="6">
                  <c:v>4990000</c:v>
                </c:pt>
                <c:pt idx="7">
                  <c:v>9455000</c:v>
                </c:pt>
                <c:pt idx="8">
                  <c:v>11770000</c:v>
                </c:pt>
                <c:pt idx="9">
                  <c:v>14085000</c:v>
                </c:pt>
                <c:pt idx="10">
                  <c:v>16400000</c:v>
                </c:pt>
                <c:pt idx="11">
                  <c:v>18715000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75-4D72-B071-7B16C7C3C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48960"/>
        <c:axId val="143684672"/>
      </c:lineChart>
      <c:catAx>
        <c:axId val="2126489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84672"/>
        <c:crosses val="autoZero"/>
        <c:auto val="1"/>
        <c:lblAlgn val="ctr"/>
        <c:lblOffset val="100"/>
        <c:noMultiLvlLbl val="0"/>
      </c:catAx>
      <c:valAx>
        <c:axId val="1436846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Rp&quot;* #,##0_);_(&quot;Rp&quot;* \(#,##0\);_(&quot;Rp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48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Akira Expanded" panose="02000800000000000000" pitchFamily="50" charset="0"/>
                <a:ea typeface="+mn-ea"/>
                <a:cs typeface="Arial" panose="020B0604020202020204" pitchFamily="34" charset="0"/>
              </a:defRPr>
            </a:pPr>
            <a:r>
              <a:rPr lang="en-ID">
                <a:latin typeface="Akira Expanded" panose="02000800000000000000" pitchFamily="50" charset="0"/>
                <a:cs typeface="Arial" panose="020B0604020202020204" pitchFamily="34" charset="0"/>
              </a:rPr>
              <a:t>Profit Graph data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80542818693848"/>
          <c:y val="0.14631163708086786"/>
          <c:w val="0.79491456640209135"/>
          <c:h val="0.83202161859945023"/>
        </c:manualLayout>
      </c:layout>
      <c:lineChart>
        <c:grouping val="stacke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'Profit &amp; Loss Projection'!$F$9:$F$20</c:f>
              <c:numCache>
                <c:formatCode>_("Rp"* #,##0_);_("Rp"* \(#,##0\);_("Rp"* "-"_);_(@_)</c:formatCode>
                <c:ptCount val="12"/>
                <c:pt idx="0">
                  <c:v>-8900000</c:v>
                </c:pt>
                <c:pt idx="1">
                  <c:v>-4435000</c:v>
                </c:pt>
                <c:pt idx="2">
                  <c:v>-2120000</c:v>
                </c:pt>
                <c:pt idx="3">
                  <c:v>195000</c:v>
                </c:pt>
                <c:pt idx="4">
                  <c:v>2510000</c:v>
                </c:pt>
                <c:pt idx="5">
                  <c:v>4825000</c:v>
                </c:pt>
                <c:pt idx="6">
                  <c:v>4990000</c:v>
                </c:pt>
                <c:pt idx="7">
                  <c:v>9455000</c:v>
                </c:pt>
                <c:pt idx="8">
                  <c:v>11770000</c:v>
                </c:pt>
                <c:pt idx="9">
                  <c:v>14085000</c:v>
                </c:pt>
                <c:pt idx="10">
                  <c:v>16400000</c:v>
                </c:pt>
                <c:pt idx="11">
                  <c:v>18715000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1C-43BE-B39F-20B21ED4F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51520"/>
        <c:axId val="143686400"/>
      </c:lineChart>
      <c:catAx>
        <c:axId val="2126515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86400"/>
        <c:crosses val="autoZero"/>
        <c:auto val="1"/>
        <c:lblAlgn val="ctr"/>
        <c:lblOffset val="100"/>
        <c:noMultiLvlLbl val="0"/>
      </c:catAx>
      <c:valAx>
        <c:axId val="1436864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Rp&quot;* #,##0_);_(&quot;Rp&quot;* \(#,##0\);_(&quot;Rp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51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106680</xdr:colOff>
      <xdr:row>6</xdr:row>
      <xdr:rowOff>179070</xdr:rowOff>
    </xdr:from>
    <xdr:to>
      <xdr:col>16</xdr:col>
      <xdr:colOff>312420</xdr:colOff>
      <xdr:row>24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6C0D7B-8B1A-478F-9573-6D515F017E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1</xdr:row>
      <xdr:rowOff>121920</xdr:rowOff>
    </xdr:from>
    <xdr:to>
      <xdr:col>10</xdr:col>
      <xdr:colOff>167640</xdr:colOff>
      <xdr:row>19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5210C8-5339-458A-A8C0-F03752F8F5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8"/>
  <sheetViews>
    <sheetView topLeftCell="A5" zoomScale="115" zoomScaleNormal="115" workbookViewId="0">
      <selection activeCell="D25" sqref="D25"/>
    </sheetView>
  </sheetViews>
  <sheetFormatPr defaultRowHeight="14.4" x14ac:dyDescent="0.3"/>
  <cols>
    <col min="1" max="1" width="8.88671875" style="2"/>
    <col min="2" max="2" width="16.77734375" style="2" customWidth="1"/>
    <col min="3" max="3" width="13.33203125" style="2" customWidth="1"/>
    <col min="4" max="4" width="20.77734375" style="3" customWidth="1"/>
    <col min="5" max="5" width="20.77734375" style="2" customWidth="1"/>
    <col min="6" max="6" width="8.109375" style="2" customWidth="1"/>
    <col min="7" max="7" width="17" style="2" customWidth="1"/>
    <col min="8" max="8" width="11.33203125" style="2" customWidth="1"/>
    <col min="9" max="10" width="20.77734375" style="30" customWidth="1"/>
    <col min="11" max="16384" width="8.88671875" style="2"/>
  </cols>
  <sheetData>
    <row r="2" spans="2:10" ht="15" thickBot="1" x14ac:dyDescent="0.35"/>
    <row r="3" spans="2:10" x14ac:dyDescent="0.3">
      <c r="B3" s="77" t="s">
        <v>14</v>
      </c>
      <c r="C3" s="78"/>
      <c r="D3" s="78"/>
      <c r="E3" s="78"/>
      <c r="F3" s="78"/>
      <c r="G3" s="78"/>
      <c r="H3" s="78"/>
      <c r="I3" s="78"/>
      <c r="J3" s="79"/>
    </row>
    <row r="4" spans="2:10" x14ac:dyDescent="0.3">
      <c r="B4" s="80"/>
      <c r="C4" s="81"/>
      <c r="D4" s="81"/>
      <c r="E4" s="81"/>
      <c r="F4" s="81"/>
      <c r="G4" s="81"/>
      <c r="H4" s="81"/>
      <c r="I4" s="81"/>
      <c r="J4" s="82"/>
    </row>
    <row r="5" spans="2:10" x14ac:dyDescent="0.3">
      <c r="B5" s="80"/>
      <c r="C5" s="81"/>
      <c r="D5" s="81"/>
      <c r="E5" s="81"/>
      <c r="F5" s="81"/>
      <c r="G5" s="81"/>
      <c r="H5" s="81"/>
      <c r="I5" s="81"/>
      <c r="J5" s="82"/>
    </row>
    <row r="6" spans="2:10" ht="15" thickBot="1" x14ac:dyDescent="0.35">
      <c r="B6" s="83"/>
      <c r="C6" s="84"/>
      <c r="D6" s="84"/>
      <c r="E6" s="84"/>
      <c r="F6" s="84"/>
      <c r="G6" s="84"/>
      <c r="H6" s="84"/>
      <c r="I6" s="84"/>
      <c r="J6" s="85"/>
    </row>
    <row r="7" spans="2:10" ht="15" thickBot="1" x14ac:dyDescent="0.35"/>
    <row r="8" spans="2:10" x14ac:dyDescent="0.3">
      <c r="B8" s="71" t="s">
        <v>10</v>
      </c>
      <c r="C8" s="72"/>
      <c r="D8" s="72"/>
      <c r="E8" s="73"/>
      <c r="G8" s="71" t="s">
        <v>11</v>
      </c>
      <c r="H8" s="72"/>
      <c r="I8" s="72"/>
      <c r="J8" s="73"/>
    </row>
    <row r="9" spans="2:10" ht="15" thickBot="1" x14ac:dyDescent="0.35">
      <c r="B9" s="74"/>
      <c r="C9" s="75"/>
      <c r="D9" s="75"/>
      <c r="E9" s="76"/>
      <c r="G9" s="74"/>
      <c r="H9" s="75"/>
      <c r="I9" s="75"/>
      <c r="J9" s="76"/>
    </row>
    <row r="10" spans="2:10" x14ac:dyDescent="0.3">
      <c r="B10" s="7" t="s">
        <v>4</v>
      </c>
      <c r="C10" s="7" t="s">
        <v>5</v>
      </c>
      <c r="D10" s="8" t="s">
        <v>6</v>
      </c>
      <c r="E10" s="7" t="s">
        <v>7</v>
      </c>
      <c r="F10" s="9"/>
      <c r="G10" s="7" t="s">
        <v>4</v>
      </c>
      <c r="H10" s="7" t="s">
        <v>5</v>
      </c>
      <c r="I10" s="53" t="s">
        <v>6</v>
      </c>
      <c r="J10" s="53" t="s">
        <v>7</v>
      </c>
    </row>
    <row r="11" spans="2:10" x14ac:dyDescent="0.3">
      <c r="B11" s="58" t="s">
        <v>98</v>
      </c>
      <c r="C11" s="58">
        <v>1</v>
      </c>
      <c r="D11" s="59">
        <v>300000</v>
      </c>
      <c r="E11" s="59">
        <f>SUM(C11*D11*$D$24)</f>
        <v>300000</v>
      </c>
      <c r="G11" s="58" t="s">
        <v>12</v>
      </c>
      <c r="H11" s="58">
        <v>1</v>
      </c>
      <c r="I11" s="60">
        <v>3000000</v>
      </c>
      <c r="J11" s="60">
        <f>SUM(H11*I11*$D$24)</f>
        <v>3000000</v>
      </c>
    </row>
    <row r="12" spans="2:10" x14ac:dyDescent="0.3">
      <c r="B12" s="58" t="s">
        <v>99</v>
      </c>
      <c r="C12" s="58">
        <v>1</v>
      </c>
      <c r="D12" s="59">
        <v>100000</v>
      </c>
      <c r="E12" s="59">
        <f>SUM(C12*D12*$D$24)</f>
        <v>100000</v>
      </c>
      <c r="G12" s="58" t="s">
        <v>100</v>
      </c>
      <c r="H12" s="58">
        <v>1</v>
      </c>
      <c r="I12" s="60">
        <v>1000000</v>
      </c>
      <c r="J12" s="60">
        <f>SUM(H12*I12*$D$24)</f>
        <v>1000000</v>
      </c>
    </row>
    <row r="13" spans="2:10" ht="15" thickBot="1" x14ac:dyDescent="0.35">
      <c r="B13" s="58" t="s">
        <v>97</v>
      </c>
      <c r="C13" s="58">
        <v>1</v>
      </c>
      <c r="D13" s="59">
        <v>300000</v>
      </c>
      <c r="E13" s="59">
        <f t="shared" ref="E13:E17" si="0">SUM(C13*D13*$D$24)</f>
        <v>300000</v>
      </c>
      <c r="F13" s="9"/>
      <c r="G13" s="9"/>
      <c r="H13" s="9"/>
      <c r="I13" s="54" t="s">
        <v>15</v>
      </c>
      <c r="J13" s="55">
        <f>SUM(J11:J12)</f>
        <v>4000000</v>
      </c>
    </row>
    <row r="14" spans="2:10" ht="15" thickTop="1" x14ac:dyDescent="0.3">
      <c r="B14" s="58" t="s">
        <v>96</v>
      </c>
      <c r="C14" s="58">
        <v>1</v>
      </c>
      <c r="D14" s="59">
        <v>200000</v>
      </c>
      <c r="E14" s="59">
        <f t="shared" si="0"/>
        <v>200000</v>
      </c>
    </row>
    <row r="15" spans="2:10" x14ac:dyDescent="0.3">
      <c r="B15" s="58" t="s">
        <v>95</v>
      </c>
      <c r="C15" s="58">
        <v>1</v>
      </c>
      <c r="D15" s="59">
        <v>200000</v>
      </c>
      <c r="E15" s="59">
        <f t="shared" si="0"/>
        <v>200000</v>
      </c>
    </row>
    <row r="16" spans="2:10" x14ac:dyDescent="0.3">
      <c r="B16" s="58" t="s">
        <v>93</v>
      </c>
      <c r="C16" s="58">
        <v>2</v>
      </c>
      <c r="D16" s="59">
        <v>100000</v>
      </c>
      <c r="E16" s="59">
        <f t="shared" si="0"/>
        <v>200000</v>
      </c>
    </row>
    <row r="17" spans="2:5" x14ac:dyDescent="0.3">
      <c r="B17" s="58" t="s">
        <v>94</v>
      </c>
      <c r="C17" s="58">
        <v>2</v>
      </c>
      <c r="D17" s="59">
        <v>50000</v>
      </c>
      <c r="E17" s="59">
        <f t="shared" si="0"/>
        <v>100000</v>
      </c>
    </row>
    <row r="18" spans="2:5" x14ac:dyDescent="0.3">
      <c r="B18" s="58" t="s">
        <v>92</v>
      </c>
      <c r="C18" s="58">
        <v>1</v>
      </c>
      <c r="D18" s="59">
        <v>150000</v>
      </c>
      <c r="E18" s="59">
        <f>SUM(C18*D18*$D$24)</f>
        <v>150000</v>
      </c>
    </row>
    <row r="19" spans="2:5" x14ac:dyDescent="0.3">
      <c r="B19" s="58" t="s">
        <v>8</v>
      </c>
      <c r="C19" s="58">
        <v>1</v>
      </c>
      <c r="D19" s="59">
        <v>500000</v>
      </c>
      <c r="E19" s="59">
        <f>SUM(C19*D19*$D$24)</f>
        <v>500000</v>
      </c>
    </row>
    <row r="20" spans="2:5" x14ac:dyDescent="0.3">
      <c r="B20" s="58" t="s">
        <v>9</v>
      </c>
      <c r="C20" s="58">
        <v>1</v>
      </c>
      <c r="D20" s="59">
        <v>100000</v>
      </c>
      <c r="E20" s="59">
        <f>SUM(C20*D20*$D$24)</f>
        <v>100000</v>
      </c>
    </row>
    <row r="21" spans="2:5" ht="15" thickBot="1" x14ac:dyDescent="0.35">
      <c r="D21" s="10" t="s">
        <v>15</v>
      </c>
      <c r="E21" s="11">
        <f>SUM(E11:E20)</f>
        <v>2150000</v>
      </c>
    </row>
    <row r="22" spans="2:5" ht="15" thickTop="1" x14ac:dyDescent="0.3"/>
    <row r="24" spans="2:5" x14ac:dyDescent="0.3">
      <c r="B24" s="86" t="s">
        <v>13</v>
      </c>
      <c r="C24" s="86"/>
      <c r="D24" s="56">
        <v>1</v>
      </c>
    </row>
    <row r="25" spans="2:5" x14ac:dyDescent="0.3">
      <c r="B25" s="87" t="s">
        <v>16</v>
      </c>
      <c r="C25" s="88"/>
      <c r="D25" s="57">
        <f>E21+J13</f>
        <v>6150000</v>
      </c>
    </row>
    <row r="26" spans="2:5" x14ac:dyDescent="0.3">
      <c r="C26" s="4"/>
      <c r="D26" s="2"/>
    </row>
    <row r="28" spans="2:5" x14ac:dyDescent="0.3">
      <c r="D28" s="12"/>
    </row>
  </sheetData>
  <mergeCells count="5">
    <mergeCell ref="B8:E9"/>
    <mergeCell ref="G8:J9"/>
    <mergeCell ref="B3:J6"/>
    <mergeCell ref="B24:C24"/>
    <mergeCell ref="B25:C25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7:L76"/>
  <sheetViews>
    <sheetView topLeftCell="A11" zoomScale="144" zoomScaleNormal="144" workbookViewId="0">
      <selection activeCell="H25" sqref="H25"/>
    </sheetView>
  </sheetViews>
  <sheetFormatPr defaultRowHeight="14.4" x14ac:dyDescent="0.3"/>
  <cols>
    <col min="1" max="1" width="2.77734375" style="17" customWidth="1"/>
    <col min="2" max="2" width="7.6640625" style="17" customWidth="1"/>
    <col min="3" max="6" width="20.77734375" style="30" customWidth="1"/>
    <col min="7" max="7" width="20.77734375" style="17" customWidth="1"/>
    <col min="8" max="12" width="20.77734375" style="13" customWidth="1"/>
    <col min="13" max="22" width="20.77734375" style="17" customWidth="1"/>
    <col min="23" max="16384" width="8.88671875" style="17"/>
  </cols>
  <sheetData>
    <row r="7" spans="2:12" ht="15" thickBot="1" x14ac:dyDescent="0.35"/>
    <row r="8" spans="2:12" x14ac:dyDescent="0.3">
      <c r="B8" s="90" t="s">
        <v>25</v>
      </c>
      <c r="C8" s="91"/>
      <c r="D8" s="91"/>
      <c r="E8" s="91"/>
      <c r="F8" s="92"/>
    </row>
    <row r="9" spans="2:12" ht="15" thickBot="1" x14ac:dyDescent="0.35">
      <c r="B9" s="93"/>
      <c r="C9" s="94"/>
      <c r="D9" s="94"/>
      <c r="E9" s="94"/>
      <c r="F9" s="95"/>
      <c r="I9" s="15"/>
      <c r="J9" s="18"/>
      <c r="K9" s="18"/>
    </row>
    <row r="11" spans="2:12" ht="16.05" customHeight="1" x14ac:dyDescent="0.3">
      <c r="B11" s="96" t="s">
        <v>0</v>
      </c>
      <c r="C11" s="98" t="s">
        <v>27</v>
      </c>
      <c r="D11" s="99"/>
      <c r="E11" s="99"/>
      <c r="F11" s="100"/>
    </row>
    <row r="12" spans="2:12" x14ac:dyDescent="0.3">
      <c r="B12" s="97"/>
      <c r="C12" s="34" t="s">
        <v>26</v>
      </c>
      <c r="D12" s="34" t="s">
        <v>26</v>
      </c>
      <c r="E12" s="34" t="s">
        <v>28</v>
      </c>
      <c r="F12" s="34" t="s">
        <v>38</v>
      </c>
    </row>
    <row r="13" spans="2:12" x14ac:dyDescent="0.3">
      <c r="B13" s="16">
        <v>1</v>
      </c>
      <c r="C13" s="61">
        <f>J16</f>
        <v>2000000</v>
      </c>
      <c r="D13" s="61">
        <f>J16</f>
        <v>2000000</v>
      </c>
      <c r="E13" s="61">
        <f>K16</f>
        <v>1500000</v>
      </c>
      <c r="F13" s="61">
        <f>L16</f>
        <v>6000000</v>
      </c>
      <c r="G13" s="23">
        <f>SUM(C13:F13)</f>
        <v>11500000</v>
      </c>
      <c r="I13" s="89" t="s">
        <v>33</v>
      </c>
      <c r="J13" s="89"/>
      <c r="K13" s="89"/>
      <c r="L13" s="89"/>
    </row>
    <row r="14" spans="2:12" x14ac:dyDescent="0.3">
      <c r="B14" s="20">
        <v>2</v>
      </c>
      <c r="C14" s="62">
        <f>J16+J17</f>
        <v>2015000</v>
      </c>
      <c r="D14" s="62">
        <f>J16+J17</f>
        <v>2015000</v>
      </c>
      <c r="E14" s="62">
        <f>K16+K17</f>
        <v>1505000</v>
      </c>
      <c r="F14" s="62">
        <f>L16+L17</f>
        <v>8000000</v>
      </c>
      <c r="G14" s="23">
        <f t="shared" ref="G14:G23" si="0">SUM(C14:F14)</f>
        <v>13535000</v>
      </c>
    </row>
    <row r="15" spans="2:12" x14ac:dyDescent="0.3">
      <c r="B15" s="16">
        <v>3</v>
      </c>
      <c r="C15" s="61">
        <f>FORECAST($B15,C$13:C14,$B$13:$B14)</f>
        <v>2030000</v>
      </c>
      <c r="D15" s="61">
        <f>FORECAST($B15,D$13:D14,$B$13:$B14)</f>
        <v>2030000</v>
      </c>
      <c r="E15" s="61">
        <f>FORECAST($B15,E$13:E14,$B$13:$B14)</f>
        <v>1510000</v>
      </c>
      <c r="F15" s="61">
        <f>FORECAST($B15,F$13:F14,$B$13:$B14)</f>
        <v>10000000</v>
      </c>
      <c r="G15" s="23">
        <f t="shared" si="0"/>
        <v>15570000</v>
      </c>
      <c r="I15" s="22"/>
      <c r="J15" s="14" t="s">
        <v>30</v>
      </c>
      <c r="K15" s="14" t="s">
        <v>28</v>
      </c>
      <c r="L15" s="14" t="s">
        <v>29</v>
      </c>
    </row>
    <row r="16" spans="2:12" x14ac:dyDescent="0.3">
      <c r="B16" s="20">
        <v>4</v>
      </c>
      <c r="C16" s="62">
        <f>FORECAST($B16,C$13:C15,$B$13:$B15)</f>
        <v>2045000</v>
      </c>
      <c r="D16" s="62">
        <f>FORECAST($B16,D$13:D15,$B$13:$B15)</f>
        <v>2045000</v>
      </c>
      <c r="E16" s="62">
        <f>FORECAST($B16,E$13:E15,$B$13:$B15)</f>
        <v>1515000</v>
      </c>
      <c r="F16" s="62">
        <f>FORECAST($B16,F$13:F15,$B$13:$B15)</f>
        <v>12000000</v>
      </c>
      <c r="G16" s="23">
        <f t="shared" si="0"/>
        <v>17605000</v>
      </c>
      <c r="I16" s="22" t="s">
        <v>31</v>
      </c>
      <c r="J16" s="14">
        <v>2000000</v>
      </c>
      <c r="K16" s="14">
        <v>1500000</v>
      </c>
      <c r="L16" s="14">
        <v>6000000</v>
      </c>
    </row>
    <row r="17" spans="2:12" x14ac:dyDescent="0.3">
      <c r="B17" s="16">
        <v>5</v>
      </c>
      <c r="C17" s="61">
        <f>FORECAST($B17,C$13:C16,$B$13:$B16)</f>
        <v>2060000</v>
      </c>
      <c r="D17" s="61">
        <f>FORECAST($B17,D$13:D16,$B$13:$B16)</f>
        <v>2060000</v>
      </c>
      <c r="E17" s="61">
        <f>FORECAST($B17,E$13:E16,$B$13:$B16)</f>
        <v>1520000</v>
      </c>
      <c r="F17" s="61">
        <f>FORECAST($B17,F$13:F16,$B$13:$B16)</f>
        <v>14000000</v>
      </c>
      <c r="G17" s="23">
        <f t="shared" si="0"/>
        <v>19640000</v>
      </c>
      <c r="I17" s="14" t="s">
        <v>32</v>
      </c>
      <c r="J17" s="14">
        <v>15000</v>
      </c>
      <c r="K17" s="14">
        <v>5000</v>
      </c>
      <c r="L17" s="14">
        <v>2000000</v>
      </c>
    </row>
    <row r="18" spans="2:12" x14ac:dyDescent="0.3">
      <c r="B18" s="20">
        <v>6</v>
      </c>
      <c r="C18" s="62">
        <f>FORECAST($B18,C$13:C17,$B$13:$B17)</f>
        <v>2075000</v>
      </c>
      <c r="D18" s="62">
        <f>FORECAST($B18,D$13:D17,$B$13:$B17)</f>
        <v>2075000</v>
      </c>
      <c r="E18" s="62">
        <f>FORECAST($B18,E$13:E17,$B$13:$B17)</f>
        <v>1525000</v>
      </c>
      <c r="F18" s="62">
        <f>FORECAST($B18,F$13:F17,$B$13:$B17)</f>
        <v>16000000</v>
      </c>
      <c r="G18" s="23">
        <f t="shared" si="0"/>
        <v>21675000</v>
      </c>
    </row>
    <row r="19" spans="2:12" x14ac:dyDescent="0.3">
      <c r="B19" s="16">
        <v>7</v>
      </c>
      <c r="C19" s="61">
        <f>FORECAST($B19,C$13:C18,$B$13:$B18)</f>
        <v>2090000</v>
      </c>
      <c r="D19" s="61">
        <f>FORECAST($B19,D$13:D18,$B$13:$B18)</f>
        <v>2090000</v>
      </c>
      <c r="E19" s="61">
        <f>FORECAST($B19,E$13:E18,$B$13:$B18)</f>
        <v>1530000</v>
      </c>
      <c r="F19" s="61">
        <f>FORECAST($B19,F$13:F18,$B$13:$B18)</f>
        <v>18000000</v>
      </c>
      <c r="G19" s="23">
        <f t="shared" si="0"/>
        <v>23710000</v>
      </c>
    </row>
    <row r="20" spans="2:12" x14ac:dyDescent="0.3">
      <c r="B20" s="20">
        <v>8</v>
      </c>
      <c r="C20" s="62">
        <f>FORECAST($B20,C$13:C19,$B$13:$B19)</f>
        <v>2105000</v>
      </c>
      <c r="D20" s="62">
        <f>FORECAST($B20,D$13:D19,$B$13:$B19)</f>
        <v>2105000</v>
      </c>
      <c r="E20" s="62">
        <f>FORECAST($B20,E$13:E19,$B$13:$B19)</f>
        <v>1535000</v>
      </c>
      <c r="F20" s="62">
        <f>FORECAST($B20,F$13:F19,$B$13:$B19)</f>
        <v>20000000</v>
      </c>
      <c r="G20" s="23">
        <f t="shared" si="0"/>
        <v>25745000</v>
      </c>
    </row>
    <row r="21" spans="2:12" x14ac:dyDescent="0.3">
      <c r="B21" s="16">
        <v>9</v>
      </c>
      <c r="C21" s="61">
        <f>FORECAST($B21,C$13:C20,$B$13:$B20)</f>
        <v>2120000</v>
      </c>
      <c r="D21" s="61">
        <f>FORECAST($B21,D$13:D20,$B$13:$B20)</f>
        <v>2120000</v>
      </c>
      <c r="E21" s="61">
        <f>FORECAST($B21,E$13:E20,$B$13:$B20)</f>
        <v>1540000</v>
      </c>
      <c r="F21" s="61">
        <f>FORECAST($B21,F$13:F20,$B$13:$B20)</f>
        <v>22000000</v>
      </c>
      <c r="G21" s="23">
        <f t="shared" si="0"/>
        <v>27780000</v>
      </c>
      <c r="I21" s="29"/>
      <c r="J21" s="29"/>
      <c r="K21" s="29"/>
      <c r="L21" s="29"/>
    </row>
    <row r="22" spans="2:12" x14ac:dyDescent="0.3">
      <c r="B22" s="20">
        <v>10</v>
      </c>
      <c r="C22" s="62">
        <f>FORECAST($B22,C$13:C21,$B$13:$B21)</f>
        <v>2135000</v>
      </c>
      <c r="D22" s="62">
        <f>FORECAST($B22,D$13:D21,$B$13:$B21)</f>
        <v>2135000</v>
      </c>
      <c r="E22" s="62">
        <f>FORECAST($B22,E$13:E21,$B$13:$B21)</f>
        <v>1545000</v>
      </c>
      <c r="F22" s="62">
        <f>FORECAST($B22,F$13:F21,$B$13:$B21)</f>
        <v>24000000</v>
      </c>
      <c r="G22" s="23">
        <f t="shared" si="0"/>
        <v>29815000</v>
      </c>
    </row>
    <row r="23" spans="2:12" x14ac:dyDescent="0.3">
      <c r="B23" s="16">
        <v>11</v>
      </c>
      <c r="C23" s="61">
        <f>FORECAST($B23,C$13:C22,$B$13:$B22)</f>
        <v>2150000</v>
      </c>
      <c r="D23" s="61">
        <f>FORECAST($B23,D$13:D22,$B$13:$B22)</f>
        <v>2150000</v>
      </c>
      <c r="E23" s="61">
        <f>FORECAST($B23,E$13:E22,$B$13:$B22)</f>
        <v>1550000</v>
      </c>
      <c r="F23" s="61">
        <f>FORECAST($B23,F$13:F22,$B$13:$B22)</f>
        <v>26000000</v>
      </c>
      <c r="G23" s="23">
        <f t="shared" si="0"/>
        <v>31850000</v>
      </c>
    </row>
    <row r="24" spans="2:12" x14ac:dyDescent="0.3">
      <c r="B24" s="20">
        <v>12</v>
      </c>
      <c r="C24" s="62">
        <f>FORECAST($B24,C$13:C23,$B$13:$B23)</f>
        <v>2165000</v>
      </c>
      <c r="D24" s="62">
        <f>FORECAST($B24,D$13:D23,$B$13:$B23)</f>
        <v>2165000</v>
      </c>
      <c r="E24" s="62">
        <f>FORECAST($B24,E$13:E23,$B$13:$B23)</f>
        <v>1555000</v>
      </c>
      <c r="F24" s="62">
        <f>FORECAST($B24,F$13:F23,$B$13:$B23)</f>
        <v>28000000</v>
      </c>
      <c r="G24" s="23">
        <f>SUM(C24:F24)</f>
        <v>33885000</v>
      </c>
    </row>
    <row r="27" spans="2:12" x14ac:dyDescent="0.3">
      <c r="B27" s="21" t="s">
        <v>15</v>
      </c>
      <c r="C27" s="61">
        <f>SUM(C13:C24)</f>
        <v>24990000</v>
      </c>
      <c r="D27" s="61">
        <f>SUM(D13:D24)</f>
        <v>24990000</v>
      </c>
      <c r="E27" s="61">
        <f>SUM(E13:E24)</f>
        <v>18330000</v>
      </c>
      <c r="F27" s="61">
        <f>SUM(F13:F24)</f>
        <v>204000000</v>
      </c>
    </row>
    <row r="28" spans="2:12" x14ac:dyDescent="0.3">
      <c r="B28" s="21" t="s">
        <v>15</v>
      </c>
      <c r="C28" s="61">
        <f>SUM(C27:F27)</f>
        <v>272310000</v>
      </c>
      <c r="D28" s="61"/>
      <c r="E28" s="61"/>
      <c r="F28" s="61"/>
    </row>
    <row r="29" spans="2:12" x14ac:dyDescent="0.3">
      <c r="B29" s="16"/>
      <c r="C29" s="35"/>
      <c r="D29" s="35"/>
      <c r="E29" s="35"/>
      <c r="F29" s="35"/>
    </row>
    <row r="30" spans="2:12" x14ac:dyDescent="0.3">
      <c r="B30" s="16"/>
      <c r="C30" s="35"/>
      <c r="D30" s="35"/>
      <c r="E30" s="35"/>
      <c r="F30" s="35"/>
    </row>
    <row r="31" spans="2:12" x14ac:dyDescent="0.3">
      <c r="B31" s="16"/>
      <c r="C31" s="35"/>
      <c r="D31" s="35"/>
      <c r="E31" s="35"/>
      <c r="F31" s="35"/>
    </row>
    <row r="32" spans="2:12" x14ac:dyDescent="0.3">
      <c r="B32" s="16"/>
      <c r="C32" s="35"/>
      <c r="D32" s="35"/>
      <c r="E32" s="35"/>
      <c r="F32" s="35"/>
    </row>
    <row r="33" spans="2:6" x14ac:dyDescent="0.3">
      <c r="B33" s="16"/>
      <c r="C33" s="35"/>
      <c r="D33" s="35"/>
      <c r="E33" s="35"/>
      <c r="F33" s="35"/>
    </row>
    <row r="34" spans="2:6" x14ac:dyDescent="0.3">
      <c r="B34" s="16"/>
      <c r="C34" s="35"/>
      <c r="D34" s="35"/>
      <c r="E34" s="35"/>
      <c r="F34" s="35"/>
    </row>
    <row r="35" spans="2:6" x14ac:dyDescent="0.3">
      <c r="B35" s="16"/>
      <c r="C35" s="35"/>
      <c r="D35" s="35"/>
      <c r="E35" s="35"/>
      <c r="F35" s="35"/>
    </row>
    <row r="36" spans="2:6" x14ac:dyDescent="0.3">
      <c r="B36" s="16"/>
      <c r="C36" s="35"/>
      <c r="D36" s="35"/>
      <c r="E36" s="35"/>
      <c r="F36" s="35"/>
    </row>
    <row r="37" spans="2:6" x14ac:dyDescent="0.3">
      <c r="B37" s="16"/>
      <c r="C37" s="35"/>
      <c r="D37" s="35"/>
      <c r="E37" s="35"/>
      <c r="F37" s="35"/>
    </row>
    <row r="38" spans="2:6" x14ac:dyDescent="0.3">
      <c r="B38" s="16"/>
      <c r="C38" s="35"/>
      <c r="D38" s="35"/>
      <c r="E38" s="35"/>
      <c r="F38" s="35"/>
    </row>
    <row r="39" spans="2:6" x14ac:dyDescent="0.3">
      <c r="B39" s="16"/>
      <c r="C39" s="35"/>
      <c r="D39" s="35"/>
      <c r="E39" s="35"/>
      <c r="F39" s="35"/>
    </row>
    <row r="40" spans="2:6" x14ac:dyDescent="0.3">
      <c r="B40" s="16"/>
      <c r="C40" s="35"/>
      <c r="D40" s="35"/>
      <c r="E40" s="35"/>
      <c r="F40" s="35"/>
    </row>
    <row r="41" spans="2:6" x14ac:dyDescent="0.3">
      <c r="B41" s="16"/>
      <c r="C41" s="35"/>
      <c r="D41" s="35"/>
      <c r="E41" s="35"/>
      <c r="F41" s="35"/>
    </row>
    <row r="42" spans="2:6" x14ac:dyDescent="0.3">
      <c r="B42" s="16"/>
      <c r="C42" s="35"/>
      <c r="D42" s="35"/>
      <c r="E42" s="35"/>
      <c r="F42" s="35"/>
    </row>
    <row r="43" spans="2:6" x14ac:dyDescent="0.3">
      <c r="B43" s="16"/>
      <c r="C43" s="35"/>
      <c r="D43" s="35"/>
      <c r="E43" s="35"/>
      <c r="F43" s="35"/>
    </row>
    <row r="44" spans="2:6" x14ac:dyDescent="0.3">
      <c r="B44" s="16"/>
      <c r="C44" s="35"/>
      <c r="D44" s="35"/>
      <c r="E44" s="35"/>
      <c r="F44" s="35"/>
    </row>
    <row r="45" spans="2:6" x14ac:dyDescent="0.3">
      <c r="B45" s="16"/>
      <c r="C45" s="35"/>
      <c r="D45" s="35"/>
      <c r="E45" s="35"/>
      <c r="F45" s="35"/>
    </row>
    <row r="46" spans="2:6" x14ac:dyDescent="0.3">
      <c r="B46" s="16"/>
      <c r="C46" s="35"/>
      <c r="D46" s="35"/>
      <c r="E46" s="35"/>
      <c r="F46" s="35"/>
    </row>
    <row r="47" spans="2:6" x14ac:dyDescent="0.3">
      <c r="B47" s="16"/>
      <c r="C47" s="35"/>
      <c r="D47" s="35"/>
      <c r="E47" s="35"/>
      <c r="F47" s="35"/>
    </row>
    <row r="48" spans="2:6" x14ac:dyDescent="0.3">
      <c r="B48" s="16"/>
      <c r="C48" s="35"/>
      <c r="D48" s="35"/>
      <c r="E48" s="35"/>
      <c r="F48" s="35"/>
    </row>
    <row r="49" spans="2:6" x14ac:dyDescent="0.3">
      <c r="B49" s="16"/>
      <c r="C49" s="35"/>
      <c r="D49" s="35"/>
      <c r="E49" s="35"/>
      <c r="F49" s="35"/>
    </row>
    <row r="50" spans="2:6" x14ac:dyDescent="0.3">
      <c r="B50" s="16"/>
      <c r="C50" s="35"/>
      <c r="D50" s="35"/>
      <c r="E50" s="35"/>
      <c r="F50" s="35"/>
    </row>
    <row r="51" spans="2:6" x14ac:dyDescent="0.3">
      <c r="B51" s="16"/>
      <c r="C51" s="35"/>
      <c r="D51" s="35"/>
      <c r="E51" s="35"/>
      <c r="F51" s="35"/>
    </row>
    <row r="52" spans="2:6" x14ac:dyDescent="0.3">
      <c r="B52" s="16"/>
      <c r="C52" s="35"/>
      <c r="D52" s="35"/>
      <c r="E52" s="35"/>
      <c r="F52" s="35"/>
    </row>
    <row r="53" spans="2:6" x14ac:dyDescent="0.3">
      <c r="B53" s="16"/>
      <c r="C53" s="35"/>
      <c r="D53" s="35"/>
      <c r="E53" s="35"/>
      <c r="F53" s="35"/>
    </row>
    <row r="54" spans="2:6" x14ac:dyDescent="0.3">
      <c r="B54" s="16"/>
      <c r="C54" s="35"/>
      <c r="D54" s="35"/>
      <c r="E54" s="35"/>
      <c r="F54" s="35"/>
    </row>
    <row r="55" spans="2:6" x14ac:dyDescent="0.3">
      <c r="B55" s="16"/>
      <c r="C55" s="35"/>
      <c r="D55" s="35"/>
      <c r="E55" s="35"/>
      <c r="F55" s="35"/>
    </row>
    <row r="56" spans="2:6" x14ac:dyDescent="0.3">
      <c r="B56" s="16"/>
      <c r="C56" s="35"/>
      <c r="D56" s="35"/>
      <c r="E56" s="35"/>
      <c r="F56" s="35"/>
    </row>
    <row r="57" spans="2:6" x14ac:dyDescent="0.3">
      <c r="B57" s="16"/>
      <c r="C57" s="35"/>
      <c r="D57" s="35"/>
      <c r="E57" s="35"/>
      <c r="F57" s="35"/>
    </row>
    <row r="58" spans="2:6" x14ac:dyDescent="0.3">
      <c r="B58" s="16"/>
      <c r="C58" s="35"/>
      <c r="D58" s="35"/>
      <c r="E58" s="35"/>
      <c r="F58" s="35"/>
    </row>
    <row r="59" spans="2:6" x14ac:dyDescent="0.3">
      <c r="B59" s="16"/>
      <c r="C59" s="35"/>
      <c r="D59" s="35"/>
      <c r="E59" s="35"/>
      <c r="F59" s="35"/>
    </row>
    <row r="60" spans="2:6" x14ac:dyDescent="0.3">
      <c r="B60" s="16"/>
      <c r="C60" s="35"/>
      <c r="D60" s="35"/>
      <c r="E60" s="35"/>
      <c r="F60" s="35"/>
    </row>
    <row r="61" spans="2:6" x14ac:dyDescent="0.3">
      <c r="B61" s="16"/>
      <c r="C61" s="35"/>
      <c r="D61" s="35"/>
      <c r="E61" s="35"/>
      <c r="F61" s="35"/>
    </row>
    <row r="62" spans="2:6" x14ac:dyDescent="0.3">
      <c r="B62" s="16"/>
      <c r="C62" s="35"/>
      <c r="D62" s="35"/>
      <c r="E62" s="35"/>
      <c r="F62" s="35"/>
    </row>
    <row r="63" spans="2:6" x14ac:dyDescent="0.3">
      <c r="B63" s="16"/>
      <c r="C63" s="35"/>
      <c r="D63" s="35"/>
      <c r="E63" s="35"/>
      <c r="F63" s="35"/>
    </row>
    <row r="64" spans="2:6" x14ac:dyDescent="0.3">
      <c r="B64" s="16"/>
      <c r="C64" s="35"/>
      <c r="D64" s="35"/>
      <c r="E64" s="35"/>
      <c r="F64" s="35"/>
    </row>
    <row r="65" spans="2:6" x14ac:dyDescent="0.3">
      <c r="B65" s="16"/>
      <c r="C65" s="35"/>
      <c r="D65" s="35"/>
      <c r="E65" s="35"/>
      <c r="F65" s="35"/>
    </row>
    <row r="66" spans="2:6" x14ac:dyDescent="0.3">
      <c r="B66" s="16"/>
      <c r="C66" s="35"/>
      <c r="D66" s="35"/>
      <c r="E66" s="35"/>
      <c r="F66" s="35"/>
    </row>
    <row r="67" spans="2:6" x14ac:dyDescent="0.3">
      <c r="B67" s="16"/>
      <c r="C67" s="35"/>
      <c r="D67" s="35"/>
      <c r="E67" s="35"/>
      <c r="F67" s="35"/>
    </row>
    <row r="68" spans="2:6" x14ac:dyDescent="0.3">
      <c r="B68" s="16"/>
      <c r="C68" s="35"/>
      <c r="D68" s="35"/>
      <c r="E68" s="35"/>
      <c r="F68" s="35"/>
    </row>
    <row r="69" spans="2:6" x14ac:dyDescent="0.3">
      <c r="B69" s="16"/>
      <c r="C69" s="35"/>
      <c r="D69" s="35"/>
      <c r="E69" s="35"/>
      <c r="F69" s="35"/>
    </row>
    <row r="70" spans="2:6" x14ac:dyDescent="0.3">
      <c r="B70" s="16"/>
      <c r="C70" s="35"/>
      <c r="D70" s="35"/>
      <c r="E70" s="35"/>
      <c r="F70" s="35"/>
    </row>
    <row r="71" spans="2:6" x14ac:dyDescent="0.3">
      <c r="B71" s="16"/>
      <c r="C71" s="35"/>
      <c r="D71" s="35"/>
      <c r="E71" s="35"/>
      <c r="F71" s="35"/>
    </row>
    <row r="72" spans="2:6" x14ac:dyDescent="0.3">
      <c r="B72" s="16"/>
      <c r="C72" s="35"/>
      <c r="D72" s="35"/>
      <c r="E72" s="35"/>
      <c r="F72" s="35"/>
    </row>
    <row r="73" spans="2:6" x14ac:dyDescent="0.3">
      <c r="B73" s="16"/>
      <c r="C73" s="35"/>
      <c r="D73" s="35"/>
      <c r="E73" s="35"/>
      <c r="F73" s="35"/>
    </row>
    <row r="74" spans="2:6" x14ac:dyDescent="0.3">
      <c r="B74" s="16"/>
      <c r="C74" s="35"/>
      <c r="D74" s="35"/>
      <c r="E74" s="35"/>
      <c r="F74" s="35"/>
    </row>
    <row r="75" spans="2:6" x14ac:dyDescent="0.3">
      <c r="B75" s="16"/>
      <c r="C75" s="35"/>
      <c r="D75" s="35"/>
      <c r="E75" s="35"/>
      <c r="F75" s="35"/>
    </row>
    <row r="76" spans="2:6" x14ac:dyDescent="0.3">
      <c r="B76" s="16"/>
      <c r="C76" s="35"/>
      <c r="D76" s="35"/>
      <c r="E76" s="35"/>
      <c r="F76" s="35"/>
    </row>
  </sheetData>
  <mergeCells count="4">
    <mergeCell ref="I13:L13"/>
    <mergeCell ref="B8:F9"/>
    <mergeCell ref="B11:B12"/>
    <mergeCell ref="C11:F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7:R76"/>
  <sheetViews>
    <sheetView topLeftCell="M12" zoomScale="150" zoomScaleNormal="150" workbookViewId="0">
      <selection activeCell="L31" sqref="L31"/>
    </sheetView>
  </sheetViews>
  <sheetFormatPr defaultRowHeight="14.4" x14ac:dyDescent="0.3"/>
  <cols>
    <col min="1" max="1" width="2.77734375" style="17" customWidth="1"/>
    <col min="2" max="2" width="7.6640625" style="17" customWidth="1"/>
    <col min="3" max="4" width="20.77734375" style="17" customWidth="1"/>
    <col min="5" max="5" width="20.77734375" style="48" customWidth="1"/>
    <col min="6" max="7" width="20.77734375" style="17" customWidth="1"/>
    <col min="8" max="12" width="20.77734375" style="30" customWidth="1"/>
    <col min="13" max="17" width="20.77734375" style="3" customWidth="1"/>
    <col min="18" max="22" width="20.77734375" style="17" customWidth="1"/>
    <col min="23" max="16384" width="8.88671875" style="17"/>
  </cols>
  <sheetData>
    <row r="7" spans="2:18" ht="15" thickBot="1" x14ac:dyDescent="0.35"/>
    <row r="8" spans="2:18" x14ac:dyDescent="0.3">
      <c r="B8" s="90" t="s">
        <v>21</v>
      </c>
      <c r="C8" s="91"/>
      <c r="D8" s="91"/>
      <c r="E8" s="91"/>
      <c r="F8" s="92"/>
    </row>
    <row r="9" spans="2:18" ht="15" thickBot="1" x14ac:dyDescent="0.35">
      <c r="B9" s="93"/>
      <c r="C9" s="94"/>
      <c r="D9" s="94"/>
      <c r="E9" s="94"/>
      <c r="F9" s="95"/>
      <c r="I9" s="35"/>
      <c r="J9" s="37"/>
      <c r="K9" s="37"/>
    </row>
    <row r="11" spans="2:18" ht="16.05" customHeight="1" x14ac:dyDescent="0.3">
      <c r="B11" s="96" t="s">
        <v>0</v>
      </c>
      <c r="C11" s="96" t="s">
        <v>17</v>
      </c>
      <c r="D11" s="96"/>
      <c r="E11" s="96"/>
      <c r="F11" s="96"/>
      <c r="G11" s="96"/>
      <c r="H11" s="101" t="s">
        <v>24</v>
      </c>
      <c r="I11" s="101"/>
      <c r="J11" s="101"/>
      <c r="K11" s="101"/>
      <c r="L11" s="101"/>
      <c r="M11" s="102" t="s">
        <v>1</v>
      </c>
      <c r="N11" s="102"/>
      <c r="O11" s="102"/>
      <c r="P11" s="102"/>
      <c r="Q11" s="102"/>
    </row>
    <row r="12" spans="2:18" x14ac:dyDescent="0.3">
      <c r="B12" s="97"/>
      <c r="C12" s="49" t="s">
        <v>18</v>
      </c>
      <c r="D12" s="49" t="s">
        <v>20</v>
      </c>
      <c r="E12" s="50" t="s">
        <v>22</v>
      </c>
      <c r="F12" s="49" t="s">
        <v>19</v>
      </c>
      <c r="G12" s="51" t="s">
        <v>23</v>
      </c>
      <c r="H12" s="34" t="s">
        <v>18</v>
      </c>
      <c r="I12" s="34" t="s">
        <v>20</v>
      </c>
      <c r="J12" s="34" t="s">
        <v>22</v>
      </c>
      <c r="K12" s="34" t="s">
        <v>19</v>
      </c>
      <c r="L12" s="34" t="s">
        <v>23</v>
      </c>
      <c r="M12" s="38" t="s">
        <v>18</v>
      </c>
      <c r="N12" s="38" t="s">
        <v>20</v>
      </c>
      <c r="O12" s="34" t="s">
        <v>22</v>
      </c>
      <c r="P12" s="38" t="s">
        <v>19</v>
      </c>
      <c r="Q12" s="39" t="s">
        <v>23</v>
      </c>
    </row>
    <row r="13" spans="2:18" x14ac:dyDescent="0.3">
      <c r="B13" s="16">
        <v>1</v>
      </c>
      <c r="C13" s="63">
        <v>5</v>
      </c>
      <c r="D13" s="64">
        <v>1</v>
      </c>
      <c r="E13" s="63">
        <v>160</v>
      </c>
      <c r="F13" s="63">
        <v>5</v>
      </c>
      <c r="G13" s="63">
        <v>10</v>
      </c>
      <c r="H13" s="61">
        <v>650000</v>
      </c>
      <c r="I13" s="61">
        <v>200000</v>
      </c>
      <c r="J13" s="61">
        <v>30000</v>
      </c>
      <c r="K13" s="61">
        <v>50000</v>
      </c>
      <c r="L13" s="61">
        <v>25000</v>
      </c>
      <c r="M13" s="61">
        <f>SUM(C13*H13)</f>
        <v>3250000</v>
      </c>
      <c r="N13" s="61">
        <f>SUM(D13*I13)</f>
        <v>200000</v>
      </c>
      <c r="O13" s="61">
        <f>SUM(E13*J13)</f>
        <v>4800000</v>
      </c>
      <c r="P13" s="61">
        <f>SUM(F13*K13)</f>
        <v>250000</v>
      </c>
      <c r="Q13" s="61">
        <f>SUM(G13*L13)</f>
        <v>250000</v>
      </c>
      <c r="R13" s="23">
        <f>SUM(M13:Q13)</f>
        <v>8750000</v>
      </c>
    </row>
    <row r="14" spans="2:18" x14ac:dyDescent="0.3">
      <c r="B14" s="20">
        <v>2</v>
      </c>
      <c r="C14" s="65">
        <v>10</v>
      </c>
      <c r="D14" s="66">
        <v>2</v>
      </c>
      <c r="E14" s="65">
        <v>180</v>
      </c>
      <c r="F14" s="65">
        <v>6</v>
      </c>
      <c r="G14" s="65">
        <v>20</v>
      </c>
      <c r="H14" s="62">
        <v>650000</v>
      </c>
      <c r="I14" s="62">
        <v>200000</v>
      </c>
      <c r="J14" s="62">
        <v>30000</v>
      </c>
      <c r="K14" s="62">
        <v>50000</v>
      </c>
      <c r="L14" s="62">
        <v>25000</v>
      </c>
      <c r="M14" s="62">
        <f t="shared" ref="M14:M24" si="0">SUM(C14*H14)</f>
        <v>6500000</v>
      </c>
      <c r="N14" s="62">
        <f t="shared" ref="N14:N24" si="1">SUM(D14*I14)</f>
        <v>400000</v>
      </c>
      <c r="O14" s="62">
        <f t="shared" ref="O14:O24" si="2">SUM(E14*J14)</f>
        <v>5400000</v>
      </c>
      <c r="P14" s="62">
        <f t="shared" ref="P14:P24" si="3">SUM(F14*K14)</f>
        <v>300000</v>
      </c>
      <c r="Q14" s="62">
        <f t="shared" ref="Q14:Q24" si="4">SUM(G14*L14)</f>
        <v>500000</v>
      </c>
      <c r="R14" s="23">
        <f t="shared" ref="R14:R24" si="5">SUM(M14:Q14)</f>
        <v>13100000</v>
      </c>
    </row>
    <row r="15" spans="2:18" x14ac:dyDescent="0.3">
      <c r="B15" s="16">
        <v>3</v>
      </c>
      <c r="C15" s="63">
        <f>FORECAST($B15,C$13:C14,$B$13:$B14)</f>
        <v>15</v>
      </c>
      <c r="D15" s="63">
        <f>FORECAST($B15,D$13:D14,$B$13:$B14)</f>
        <v>3</v>
      </c>
      <c r="E15" s="63">
        <f>FORECAST($B15,E$13:E14,$B$13:$B14)</f>
        <v>200</v>
      </c>
      <c r="F15" s="63">
        <f>FORECAST($B15,F$13:F14,$B$13:$B14)</f>
        <v>7</v>
      </c>
      <c r="G15" s="63">
        <f>FORECAST($B15,G$13:G14,$B$13:$B14)</f>
        <v>30</v>
      </c>
      <c r="H15" s="61">
        <v>650000</v>
      </c>
      <c r="I15" s="61">
        <v>200000</v>
      </c>
      <c r="J15" s="61">
        <v>30000</v>
      </c>
      <c r="K15" s="61">
        <v>50000</v>
      </c>
      <c r="L15" s="61">
        <v>25000</v>
      </c>
      <c r="M15" s="61">
        <f t="shared" si="0"/>
        <v>9750000</v>
      </c>
      <c r="N15" s="61">
        <f t="shared" si="1"/>
        <v>600000</v>
      </c>
      <c r="O15" s="61">
        <f t="shared" si="2"/>
        <v>6000000</v>
      </c>
      <c r="P15" s="61">
        <f t="shared" si="3"/>
        <v>350000</v>
      </c>
      <c r="Q15" s="61">
        <f t="shared" si="4"/>
        <v>750000</v>
      </c>
      <c r="R15" s="23">
        <f t="shared" si="5"/>
        <v>17450000</v>
      </c>
    </row>
    <row r="16" spans="2:18" x14ac:dyDescent="0.3">
      <c r="B16" s="20">
        <v>4</v>
      </c>
      <c r="C16" s="65">
        <f>FORECAST($B16,C$13:C15,$B$13:$B15)</f>
        <v>20</v>
      </c>
      <c r="D16" s="65">
        <f>FORECAST($B16,D$13:D15,$B$13:$B15)</f>
        <v>4</v>
      </c>
      <c r="E16" s="65">
        <f>FORECAST($B16,E$13:E15,$B$13:$B15)</f>
        <v>220</v>
      </c>
      <c r="F16" s="65">
        <f>FORECAST($B16,F$13:F15,$B$13:$B15)</f>
        <v>8</v>
      </c>
      <c r="G16" s="65">
        <f>FORECAST($B16,G$13:G15,$B$13:$B15)</f>
        <v>40</v>
      </c>
      <c r="H16" s="62">
        <v>650000</v>
      </c>
      <c r="I16" s="62">
        <v>200000</v>
      </c>
      <c r="J16" s="62">
        <v>30000</v>
      </c>
      <c r="K16" s="62">
        <v>50000</v>
      </c>
      <c r="L16" s="62">
        <v>25000</v>
      </c>
      <c r="M16" s="62">
        <f t="shared" si="0"/>
        <v>13000000</v>
      </c>
      <c r="N16" s="62">
        <f t="shared" si="1"/>
        <v>800000</v>
      </c>
      <c r="O16" s="62">
        <f t="shared" si="2"/>
        <v>6600000</v>
      </c>
      <c r="P16" s="62">
        <f t="shared" si="3"/>
        <v>400000</v>
      </c>
      <c r="Q16" s="62">
        <f t="shared" si="4"/>
        <v>1000000</v>
      </c>
      <c r="R16" s="23">
        <f t="shared" si="5"/>
        <v>21800000</v>
      </c>
    </row>
    <row r="17" spans="2:18" x14ac:dyDescent="0.3">
      <c r="B17" s="16">
        <v>5</v>
      </c>
      <c r="C17" s="63">
        <f>FORECAST($B17,C$13:C16,$B$13:$B16)</f>
        <v>25</v>
      </c>
      <c r="D17" s="63">
        <f>FORECAST($B17,D$13:D16,$B$13:$B16)</f>
        <v>5</v>
      </c>
      <c r="E17" s="63">
        <f>FORECAST($B17,E$13:E16,$B$13:$B16)</f>
        <v>240</v>
      </c>
      <c r="F17" s="63">
        <f>FORECAST($B17,F$13:F16,$B$13:$B16)</f>
        <v>9</v>
      </c>
      <c r="G17" s="63">
        <f>FORECAST($B17,G$13:G16,$B$13:$B16)</f>
        <v>50</v>
      </c>
      <c r="H17" s="61">
        <v>650000</v>
      </c>
      <c r="I17" s="61">
        <v>200000</v>
      </c>
      <c r="J17" s="61">
        <v>30000</v>
      </c>
      <c r="K17" s="61">
        <v>50000</v>
      </c>
      <c r="L17" s="61">
        <v>25000</v>
      </c>
      <c r="M17" s="61">
        <f t="shared" si="0"/>
        <v>16250000</v>
      </c>
      <c r="N17" s="61">
        <f t="shared" si="1"/>
        <v>1000000</v>
      </c>
      <c r="O17" s="61">
        <f t="shared" si="2"/>
        <v>7200000</v>
      </c>
      <c r="P17" s="61">
        <f t="shared" si="3"/>
        <v>450000</v>
      </c>
      <c r="Q17" s="61">
        <f t="shared" si="4"/>
        <v>1250000</v>
      </c>
      <c r="R17" s="23">
        <f t="shared" si="5"/>
        <v>26150000</v>
      </c>
    </row>
    <row r="18" spans="2:18" x14ac:dyDescent="0.3">
      <c r="B18" s="20">
        <v>6</v>
      </c>
      <c r="C18" s="65">
        <f>FORECAST($B18,C$13:C17,$B$13:$B17)</f>
        <v>30</v>
      </c>
      <c r="D18" s="65">
        <f>FORECAST($B18,D$13:D17,$B$13:$B17)</f>
        <v>6</v>
      </c>
      <c r="E18" s="65">
        <f>FORECAST($B18,E$13:E17,$B$13:$B17)</f>
        <v>260</v>
      </c>
      <c r="F18" s="65">
        <f>FORECAST($B18,F$13:F17,$B$13:$B17)</f>
        <v>10</v>
      </c>
      <c r="G18" s="65">
        <f>FORECAST($B18,G$13:G17,$B$13:$B17)</f>
        <v>60</v>
      </c>
      <c r="H18" s="62">
        <v>650000</v>
      </c>
      <c r="I18" s="62">
        <v>200000</v>
      </c>
      <c r="J18" s="62">
        <v>30000</v>
      </c>
      <c r="K18" s="62">
        <v>50000</v>
      </c>
      <c r="L18" s="62">
        <v>25000</v>
      </c>
      <c r="M18" s="62">
        <f t="shared" si="0"/>
        <v>19500000</v>
      </c>
      <c r="N18" s="62">
        <f t="shared" si="1"/>
        <v>1200000</v>
      </c>
      <c r="O18" s="62">
        <f t="shared" si="2"/>
        <v>7800000</v>
      </c>
      <c r="P18" s="62">
        <f t="shared" si="3"/>
        <v>500000</v>
      </c>
      <c r="Q18" s="62">
        <f t="shared" si="4"/>
        <v>1500000</v>
      </c>
      <c r="R18" s="23">
        <f t="shared" si="5"/>
        <v>30500000</v>
      </c>
    </row>
    <row r="19" spans="2:18" x14ac:dyDescent="0.3">
      <c r="B19" s="16">
        <v>7</v>
      </c>
      <c r="C19" s="63">
        <f>FORECAST($B19,C$13:C18,$B$13:$B18)</f>
        <v>35</v>
      </c>
      <c r="D19" s="63">
        <f>FORECAST($B19,D$13:D18,$B$13:$B18)</f>
        <v>7</v>
      </c>
      <c r="E19" s="63">
        <f>FORECAST($B19,E$13:E18,$B$13:$B18)</f>
        <v>280</v>
      </c>
      <c r="F19" s="63">
        <f>FORECAST($B19,F$13:F18,$B$13:$B18)</f>
        <v>11</v>
      </c>
      <c r="G19" s="63">
        <f>FORECAST($B19,G$13:G18,$B$13:$B18)</f>
        <v>70</v>
      </c>
      <c r="H19" s="61">
        <v>650000</v>
      </c>
      <c r="I19" s="61">
        <v>200000</v>
      </c>
      <c r="J19" s="61">
        <v>30000</v>
      </c>
      <c r="K19" s="61">
        <v>50000</v>
      </c>
      <c r="L19" s="61">
        <v>25000</v>
      </c>
      <c r="M19" s="61">
        <f t="shared" si="0"/>
        <v>22750000</v>
      </c>
      <c r="N19" s="61">
        <f t="shared" si="1"/>
        <v>1400000</v>
      </c>
      <c r="O19" s="61">
        <f t="shared" si="2"/>
        <v>8400000</v>
      </c>
      <c r="P19" s="61">
        <f t="shared" si="3"/>
        <v>550000</v>
      </c>
      <c r="Q19" s="61">
        <f t="shared" si="4"/>
        <v>1750000</v>
      </c>
      <c r="R19" s="23">
        <f t="shared" si="5"/>
        <v>34850000</v>
      </c>
    </row>
    <row r="20" spans="2:18" x14ac:dyDescent="0.3">
      <c r="B20" s="20">
        <v>8</v>
      </c>
      <c r="C20" s="65">
        <f>FORECAST($B20,C$13:C19,$B$13:$B19)</f>
        <v>40</v>
      </c>
      <c r="D20" s="65">
        <f>FORECAST($B20,D$13:D19,$B$13:$B19)</f>
        <v>8</v>
      </c>
      <c r="E20" s="65">
        <f>FORECAST($B20,E$13:E19,$B$13:$B19)</f>
        <v>300</v>
      </c>
      <c r="F20" s="65">
        <f>FORECAST($B20,F$13:F19,$B$13:$B19)</f>
        <v>12</v>
      </c>
      <c r="G20" s="65">
        <f>FORECAST($B20,G$13:G19,$B$13:$B19)</f>
        <v>80</v>
      </c>
      <c r="H20" s="62">
        <v>650000</v>
      </c>
      <c r="I20" s="62">
        <v>200000</v>
      </c>
      <c r="J20" s="62">
        <v>30000</v>
      </c>
      <c r="K20" s="62">
        <v>50000</v>
      </c>
      <c r="L20" s="62">
        <v>25000</v>
      </c>
      <c r="M20" s="62">
        <f t="shared" si="0"/>
        <v>26000000</v>
      </c>
      <c r="N20" s="62">
        <f t="shared" si="1"/>
        <v>1600000</v>
      </c>
      <c r="O20" s="62">
        <f t="shared" si="2"/>
        <v>9000000</v>
      </c>
      <c r="P20" s="62">
        <f t="shared" si="3"/>
        <v>600000</v>
      </c>
      <c r="Q20" s="62">
        <f t="shared" si="4"/>
        <v>2000000</v>
      </c>
      <c r="R20" s="23">
        <f t="shared" si="5"/>
        <v>39200000</v>
      </c>
    </row>
    <row r="21" spans="2:18" x14ac:dyDescent="0.3">
      <c r="B21" s="16">
        <v>9</v>
      </c>
      <c r="C21" s="63">
        <f>FORECAST($B21,C$13:C20,$B$13:$B20)</f>
        <v>45</v>
      </c>
      <c r="D21" s="63">
        <f>FORECAST($B21,D$13:D20,$B$13:$B20)</f>
        <v>9</v>
      </c>
      <c r="E21" s="63">
        <f>FORECAST($B21,E$13:E20,$B$13:$B20)</f>
        <v>320</v>
      </c>
      <c r="F21" s="63">
        <f>FORECAST($B21,F$13:F20,$B$13:$B20)</f>
        <v>13</v>
      </c>
      <c r="G21" s="63">
        <f>FORECAST($B21,G$13:G20,$B$13:$B20)</f>
        <v>90</v>
      </c>
      <c r="H21" s="61">
        <v>650000</v>
      </c>
      <c r="I21" s="61">
        <v>200000</v>
      </c>
      <c r="J21" s="61">
        <v>30000</v>
      </c>
      <c r="K21" s="61">
        <v>50000</v>
      </c>
      <c r="L21" s="61">
        <v>25000</v>
      </c>
      <c r="M21" s="61">
        <f t="shared" si="0"/>
        <v>29250000</v>
      </c>
      <c r="N21" s="61">
        <f t="shared" si="1"/>
        <v>1800000</v>
      </c>
      <c r="O21" s="61">
        <f t="shared" si="2"/>
        <v>9600000</v>
      </c>
      <c r="P21" s="61">
        <f t="shared" si="3"/>
        <v>650000</v>
      </c>
      <c r="Q21" s="61">
        <f t="shared" si="4"/>
        <v>2250000</v>
      </c>
      <c r="R21" s="23">
        <f t="shared" si="5"/>
        <v>43550000</v>
      </c>
    </row>
    <row r="22" spans="2:18" x14ac:dyDescent="0.3">
      <c r="B22" s="20">
        <v>10</v>
      </c>
      <c r="C22" s="65">
        <f>FORECAST($B22,C$13:C21,$B$13:$B21)</f>
        <v>50</v>
      </c>
      <c r="D22" s="65">
        <f>FORECAST($B22,D$13:D21,$B$13:$B21)</f>
        <v>10</v>
      </c>
      <c r="E22" s="65">
        <f>FORECAST($B22,E$13:E21,$B$13:$B21)</f>
        <v>340</v>
      </c>
      <c r="F22" s="65">
        <f>FORECAST($B22,F$13:F21,$B$13:$B21)</f>
        <v>14</v>
      </c>
      <c r="G22" s="65">
        <f>FORECAST($B22,G$13:G21,$B$13:$B21)</f>
        <v>100</v>
      </c>
      <c r="H22" s="62">
        <v>650000</v>
      </c>
      <c r="I22" s="62">
        <v>200000</v>
      </c>
      <c r="J22" s="62">
        <v>30000</v>
      </c>
      <c r="K22" s="62">
        <v>50000</v>
      </c>
      <c r="L22" s="62">
        <v>25000</v>
      </c>
      <c r="M22" s="62">
        <f t="shared" si="0"/>
        <v>32500000</v>
      </c>
      <c r="N22" s="62">
        <f t="shared" si="1"/>
        <v>2000000</v>
      </c>
      <c r="O22" s="62">
        <f t="shared" si="2"/>
        <v>10200000</v>
      </c>
      <c r="P22" s="62">
        <f t="shared" si="3"/>
        <v>700000</v>
      </c>
      <c r="Q22" s="62">
        <f t="shared" si="4"/>
        <v>2500000</v>
      </c>
      <c r="R22" s="23">
        <f t="shared" si="5"/>
        <v>47900000</v>
      </c>
    </row>
    <row r="23" spans="2:18" x14ac:dyDescent="0.3">
      <c r="B23" s="16">
        <v>11</v>
      </c>
      <c r="C23" s="63">
        <f>FORECAST($B23,C$13:C22,$B$13:$B22)</f>
        <v>55</v>
      </c>
      <c r="D23" s="63">
        <f>FORECAST($B23,D$13:D22,$B$13:$B22)</f>
        <v>11</v>
      </c>
      <c r="E23" s="63">
        <f>FORECAST($B23,E$13:E22,$B$13:$B22)</f>
        <v>360</v>
      </c>
      <c r="F23" s="63">
        <f>FORECAST($B23,F$13:F22,$B$13:$B22)</f>
        <v>15</v>
      </c>
      <c r="G23" s="63">
        <f>FORECAST($B23,G$13:G22,$B$13:$B22)</f>
        <v>110</v>
      </c>
      <c r="H23" s="61">
        <v>650000</v>
      </c>
      <c r="I23" s="61">
        <v>200000</v>
      </c>
      <c r="J23" s="61">
        <v>30000</v>
      </c>
      <c r="K23" s="61">
        <v>50000</v>
      </c>
      <c r="L23" s="61">
        <v>25000</v>
      </c>
      <c r="M23" s="61">
        <f t="shared" si="0"/>
        <v>35750000</v>
      </c>
      <c r="N23" s="61">
        <f t="shared" si="1"/>
        <v>2200000</v>
      </c>
      <c r="O23" s="61">
        <f t="shared" si="2"/>
        <v>10800000</v>
      </c>
      <c r="P23" s="61">
        <f t="shared" si="3"/>
        <v>750000</v>
      </c>
      <c r="Q23" s="61">
        <f t="shared" si="4"/>
        <v>2750000</v>
      </c>
      <c r="R23" s="23">
        <f t="shared" si="5"/>
        <v>52250000</v>
      </c>
    </row>
    <row r="24" spans="2:18" x14ac:dyDescent="0.3">
      <c r="B24" s="20">
        <v>12</v>
      </c>
      <c r="C24" s="65">
        <f>FORECAST($B24,C$13:C23,$B$13:$B23)</f>
        <v>60</v>
      </c>
      <c r="D24" s="65">
        <f>FORECAST($B24,D$13:D23,$B$13:$B23)</f>
        <v>12</v>
      </c>
      <c r="E24" s="65">
        <f>FORECAST($B24,E$13:E23,$B$13:$B23)</f>
        <v>380</v>
      </c>
      <c r="F24" s="65">
        <f>FORECAST($B24,F$13:F23,$B$13:$B23)</f>
        <v>16</v>
      </c>
      <c r="G24" s="65">
        <f>FORECAST($B24,G$13:G23,$B$13:$B23)</f>
        <v>120</v>
      </c>
      <c r="H24" s="62">
        <v>650000</v>
      </c>
      <c r="I24" s="62">
        <v>200000</v>
      </c>
      <c r="J24" s="62">
        <v>30000</v>
      </c>
      <c r="K24" s="62">
        <v>50000</v>
      </c>
      <c r="L24" s="62">
        <v>25000</v>
      </c>
      <c r="M24" s="62">
        <f t="shared" si="0"/>
        <v>39000000</v>
      </c>
      <c r="N24" s="62">
        <f t="shared" si="1"/>
        <v>2400000</v>
      </c>
      <c r="O24" s="62">
        <f t="shared" si="2"/>
        <v>11400000</v>
      </c>
      <c r="P24" s="62">
        <f t="shared" si="3"/>
        <v>800000</v>
      </c>
      <c r="Q24" s="62">
        <f t="shared" si="4"/>
        <v>3000000</v>
      </c>
      <c r="R24" s="23">
        <f t="shared" si="5"/>
        <v>56600000</v>
      </c>
    </row>
    <row r="25" spans="2:18" x14ac:dyDescent="0.3">
      <c r="B25" s="16"/>
      <c r="C25" s="16"/>
      <c r="D25" s="16"/>
      <c r="E25" s="16"/>
      <c r="F25" s="16"/>
      <c r="G25" s="16"/>
      <c r="H25" s="35"/>
      <c r="I25" s="35"/>
      <c r="J25" s="35"/>
      <c r="K25" s="35"/>
      <c r="L25" s="35"/>
      <c r="M25" s="40"/>
      <c r="N25" s="40"/>
      <c r="O25" s="40"/>
      <c r="P25" s="40"/>
      <c r="Q25" s="40"/>
    </row>
    <row r="26" spans="2:18" x14ac:dyDescent="0.3">
      <c r="B26" s="20"/>
      <c r="C26" s="20"/>
      <c r="D26" s="20"/>
      <c r="E26" s="20"/>
      <c r="F26" s="20"/>
      <c r="G26" s="20"/>
      <c r="H26" s="36"/>
      <c r="I26" s="36"/>
      <c r="J26" s="36"/>
      <c r="K26" s="36"/>
      <c r="L26" s="36"/>
      <c r="M26" s="41"/>
      <c r="N26" s="41"/>
      <c r="O26" s="41"/>
      <c r="P26" s="41"/>
      <c r="Q26" s="41"/>
    </row>
    <row r="27" spans="2:18" x14ac:dyDescent="0.3">
      <c r="B27" s="16"/>
      <c r="C27" s="16"/>
      <c r="D27" s="16"/>
      <c r="E27" s="16"/>
      <c r="F27" s="16"/>
      <c r="G27" s="16"/>
      <c r="H27" s="35"/>
      <c r="I27" s="35"/>
      <c r="J27" s="35"/>
      <c r="K27" s="35"/>
      <c r="L27" s="35"/>
      <c r="M27" s="40"/>
      <c r="N27" s="40"/>
      <c r="O27" s="40"/>
      <c r="P27" s="40"/>
      <c r="Q27" s="40"/>
    </row>
    <row r="28" spans="2:18" x14ac:dyDescent="0.3">
      <c r="B28" s="20"/>
      <c r="C28" s="20"/>
      <c r="D28" s="20"/>
      <c r="E28" s="20"/>
      <c r="F28" s="20"/>
      <c r="G28" s="20"/>
      <c r="H28" s="36"/>
      <c r="I28" s="36"/>
      <c r="J28" s="36"/>
      <c r="K28" s="36"/>
      <c r="L28" s="36"/>
      <c r="M28" s="41"/>
      <c r="N28" s="41"/>
      <c r="O28" s="41"/>
      <c r="P28" s="41"/>
      <c r="Q28" s="41"/>
    </row>
    <row r="29" spans="2:18" x14ac:dyDescent="0.3">
      <c r="B29" s="16"/>
      <c r="C29" s="16"/>
      <c r="D29" s="16"/>
      <c r="E29" s="16"/>
      <c r="F29" s="16"/>
      <c r="G29" s="16"/>
      <c r="H29" s="35"/>
      <c r="I29" s="35"/>
      <c r="J29" s="35"/>
      <c r="K29" s="35"/>
      <c r="L29" s="35"/>
      <c r="M29" s="40"/>
      <c r="N29" s="40"/>
      <c r="O29" s="40"/>
      <c r="P29" s="40"/>
      <c r="Q29" s="40"/>
    </row>
    <row r="30" spans="2:18" x14ac:dyDescent="0.3">
      <c r="B30" s="20"/>
      <c r="C30" s="20"/>
      <c r="D30" s="20"/>
      <c r="E30" s="20"/>
      <c r="F30" s="20"/>
      <c r="G30" s="20"/>
      <c r="H30" s="36"/>
      <c r="I30" s="36"/>
      <c r="J30" s="36"/>
      <c r="K30" s="36"/>
      <c r="L30" s="36"/>
      <c r="M30" s="41"/>
      <c r="N30" s="41"/>
      <c r="O30" s="41"/>
      <c r="P30" s="41"/>
      <c r="Q30" s="41"/>
    </row>
    <row r="31" spans="2:18" x14ac:dyDescent="0.3">
      <c r="B31" s="16"/>
      <c r="C31" s="16"/>
      <c r="D31" s="16"/>
      <c r="E31" s="16"/>
      <c r="F31" s="16"/>
      <c r="G31" s="16"/>
      <c r="H31" s="35"/>
      <c r="I31" s="35"/>
      <c r="J31" s="35"/>
      <c r="K31" s="35"/>
      <c r="L31" s="35"/>
      <c r="M31" s="40"/>
      <c r="N31" s="40"/>
      <c r="O31" s="40"/>
      <c r="P31" s="40"/>
      <c r="Q31" s="40"/>
    </row>
    <row r="32" spans="2:18" x14ac:dyDescent="0.3">
      <c r="B32" s="16"/>
      <c r="C32" s="16"/>
      <c r="D32" s="16"/>
      <c r="E32" s="52"/>
      <c r="F32" s="16"/>
      <c r="L32" s="32"/>
      <c r="M32" s="6" t="s">
        <v>18</v>
      </c>
      <c r="N32" s="6" t="s">
        <v>20</v>
      </c>
      <c r="O32" s="6" t="s">
        <v>22</v>
      </c>
      <c r="P32" s="6" t="s">
        <v>19</v>
      </c>
      <c r="Q32" s="6" t="s">
        <v>23</v>
      </c>
    </row>
    <row r="33" spans="2:18" x14ac:dyDescent="0.3">
      <c r="B33" s="16"/>
      <c r="C33" s="16"/>
      <c r="D33" s="16"/>
      <c r="E33" s="52"/>
      <c r="F33" s="16"/>
      <c r="L33" s="68" t="s">
        <v>15</v>
      </c>
      <c r="M33" s="59">
        <f>SUM(M$13:M$31)</f>
        <v>253500000</v>
      </c>
      <c r="N33" s="59">
        <f t="shared" ref="N33:Q33" si="6">SUM(N$13:N$31)</f>
        <v>15600000</v>
      </c>
      <c r="O33" s="59">
        <f t="shared" si="6"/>
        <v>97200000</v>
      </c>
      <c r="P33" s="59">
        <f t="shared" si="6"/>
        <v>6300000</v>
      </c>
      <c r="Q33" s="59">
        <f t="shared" si="6"/>
        <v>19500000</v>
      </c>
    </row>
    <row r="34" spans="2:18" x14ac:dyDescent="0.3">
      <c r="B34" s="16"/>
      <c r="C34" s="16"/>
      <c r="D34" s="16"/>
      <c r="E34" s="52"/>
      <c r="F34" s="16"/>
      <c r="L34" s="68" t="s">
        <v>15</v>
      </c>
      <c r="M34" s="59">
        <f>SUM(M33:Q33)</f>
        <v>392100000</v>
      </c>
      <c r="N34" s="59"/>
      <c r="O34" s="59"/>
      <c r="P34" s="59"/>
      <c r="Q34" s="59"/>
    </row>
    <row r="35" spans="2:18" x14ac:dyDescent="0.3">
      <c r="B35" s="16"/>
      <c r="C35" s="16"/>
      <c r="D35" s="16"/>
      <c r="E35" s="52"/>
      <c r="F35" s="16"/>
      <c r="M35" s="40"/>
      <c r="N35" s="69"/>
      <c r="O35" s="69"/>
      <c r="P35" s="69"/>
      <c r="Q35" s="69"/>
      <c r="R35" s="16"/>
    </row>
    <row r="36" spans="2:18" x14ac:dyDescent="0.3">
      <c r="B36" s="16"/>
      <c r="C36" s="16"/>
      <c r="D36" s="16"/>
      <c r="E36" s="52"/>
      <c r="F36" s="16"/>
      <c r="M36" s="40"/>
      <c r="N36" s="69"/>
      <c r="O36" s="69"/>
      <c r="P36" s="69"/>
      <c r="Q36" s="69"/>
      <c r="R36" s="16"/>
    </row>
    <row r="37" spans="2:18" x14ac:dyDescent="0.3">
      <c r="B37" s="16"/>
      <c r="C37" s="16"/>
      <c r="D37" s="16"/>
      <c r="E37" s="52"/>
      <c r="F37" s="16"/>
      <c r="M37" s="67"/>
      <c r="N37" s="67"/>
      <c r="O37" s="67"/>
      <c r="P37" s="67"/>
      <c r="Q37" s="67"/>
    </row>
    <row r="38" spans="2:18" x14ac:dyDescent="0.3">
      <c r="B38" s="16"/>
      <c r="C38" s="16"/>
      <c r="D38" s="16"/>
      <c r="E38" s="52"/>
      <c r="F38" s="16"/>
    </row>
    <row r="39" spans="2:18" x14ac:dyDescent="0.3">
      <c r="B39" s="16"/>
      <c r="C39" s="16"/>
      <c r="D39" s="16"/>
      <c r="E39" s="52"/>
      <c r="F39" s="16"/>
    </row>
    <row r="40" spans="2:18" x14ac:dyDescent="0.3">
      <c r="B40" s="16"/>
      <c r="C40" s="16"/>
      <c r="D40" s="16"/>
      <c r="E40" s="52"/>
      <c r="F40" s="16"/>
    </row>
    <row r="41" spans="2:18" x14ac:dyDescent="0.3">
      <c r="B41" s="16"/>
      <c r="C41" s="16"/>
      <c r="D41" s="16"/>
      <c r="E41" s="52"/>
      <c r="F41" s="16"/>
    </row>
    <row r="42" spans="2:18" x14ac:dyDescent="0.3">
      <c r="B42" s="16"/>
      <c r="C42" s="16"/>
      <c r="D42" s="16"/>
      <c r="E42" s="52"/>
      <c r="F42" s="16"/>
    </row>
    <row r="43" spans="2:18" x14ac:dyDescent="0.3">
      <c r="B43" s="16"/>
      <c r="C43" s="16"/>
      <c r="D43" s="16"/>
      <c r="E43" s="52"/>
      <c r="F43" s="16"/>
    </row>
    <row r="44" spans="2:18" x14ac:dyDescent="0.3">
      <c r="B44" s="16"/>
      <c r="C44" s="16"/>
      <c r="D44" s="16"/>
      <c r="E44" s="52"/>
      <c r="F44" s="16"/>
    </row>
    <row r="45" spans="2:18" x14ac:dyDescent="0.3">
      <c r="B45" s="16"/>
      <c r="C45" s="16"/>
      <c r="D45" s="16"/>
      <c r="E45" s="52"/>
      <c r="F45" s="16"/>
    </row>
    <row r="46" spans="2:18" x14ac:dyDescent="0.3">
      <c r="B46" s="16"/>
      <c r="C46" s="16"/>
      <c r="D46" s="16"/>
      <c r="E46" s="52"/>
      <c r="F46" s="16"/>
    </row>
    <row r="47" spans="2:18" x14ac:dyDescent="0.3">
      <c r="B47" s="16"/>
      <c r="C47" s="16"/>
      <c r="D47" s="16"/>
      <c r="E47" s="52"/>
      <c r="F47" s="16"/>
    </row>
    <row r="48" spans="2:18" x14ac:dyDescent="0.3">
      <c r="B48" s="16"/>
      <c r="C48" s="16"/>
      <c r="D48" s="16"/>
      <c r="E48" s="52"/>
      <c r="F48" s="16"/>
    </row>
    <row r="49" spans="2:6" x14ac:dyDescent="0.3">
      <c r="B49" s="16"/>
      <c r="C49" s="16"/>
      <c r="D49" s="16"/>
      <c r="E49" s="52"/>
      <c r="F49" s="16"/>
    </row>
    <row r="50" spans="2:6" x14ac:dyDescent="0.3">
      <c r="B50" s="16"/>
      <c r="C50" s="16"/>
      <c r="D50" s="16"/>
      <c r="E50" s="52"/>
      <c r="F50" s="16"/>
    </row>
    <row r="51" spans="2:6" x14ac:dyDescent="0.3">
      <c r="B51" s="16"/>
      <c r="C51" s="16"/>
      <c r="D51" s="16"/>
      <c r="E51" s="52"/>
      <c r="F51" s="16"/>
    </row>
    <row r="52" spans="2:6" x14ac:dyDescent="0.3">
      <c r="B52" s="16"/>
      <c r="C52" s="16"/>
      <c r="D52" s="16"/>
      <c r="E52" s="52"/>
      <c r="F52" s="16"/>
    </row>
    <row r="53" spans="2:6" x14ac:dyDescent="0.3">
      <c r="B53" s="16"/>
      <c r="C53" s="16"/>
      <c r="D53" s="16"/>
      <c r="E53" s="52"/>
      <c r="F53" s="16"/>
    </row>
    <row r="54" spans="2:6" x14ac:dyDescent="0.3">
      <c r="B54" s="16"/>
      <c r="C54" s="16"/>
      <c r="D54" s="16"/>
      <c r="E54" s="52"/>
      <c r="F54" s="16"/>
    </row>
    <row r="55" spans="2:6" x14ac:dyDescent="0.3">
      <c r="B55" s="16"/>
      <c r="C55" s="16"/>
      <c r="D55" s="16"/>
      <c r="E55" s="52"/>
      <c r="F55" s="16"/>
    </row>
    <row r="56" spans="2:6" x14ac:dyDescent="0.3">
      <c r="B56" s="16"/>
      <c r="C56" s="16"/>
      <c r="D56" s="16"/>
      <c r="E56" s="52"/>
      <c r="F56" s="16"/>
    </row>
    <row r="57" spans="2:6" x14ac:dyDescent="0.3">
      <c r="B57" s="16"/>
      <c r="C57" s="16"/>
      <c r="D57" s="16"/>
      <c r="E57" s="52"/>
      <c r="F57" s="16"/>
    </row>
    <row r="58" spans="2:6" x14ac:dyDescent="0.3">
      <c r="B58" s="16"/>
      <c r="C58" s="16"/>
      <c r="D58" s="16"/>
      <c r="E58" s="52"/>
      <c r="F58" s="16"/>
    </row>
    <row r="59" spans="2:6" x14ac:dyDescent="0.3">
      <c r="B59" s="16"/>
      <c r="C59" s="16"/>
      <c r="D59" s="16"/>
      <c r="E59" s="52"/>
      <c r="F59" s="16"/>
    </row>
    <row r="60" spans="2:6" x14ac:dyDescent="0.3">
      <c r="B60" s="16"/>
      <c r="C60" s="16"/>
      <c r="D60" s="16"/>
      <c r="E60" s="52"/>
      <c r="F60" s="16"/>
    </row>
    <row r="61" spans="2:6" x14ac:dyDescent="0.3">
      <c r="B61" s="16"/>
      <c r="C61" s="16"/>
      <c r="D61" s="16"/>
      <c r="E61" s="52"/>
      <c r="F61" s="16"/>
    </row>
    <row r="62" spans="2:6" x14ac:dyDescent="0.3">
      <c r="B62" s="16"/>
      <c r="C62" s="16"/>
      <c r="D62" s="16"/>
      <c r="E62" s="52"/>
      <c r="F62" s="16"/>
    </row>
    <row r="63" spans="2:6" x14ac:dyDescent="0.3">
      <c r="B63" s="16"/>
      <c r="C63" s="16"/>
      <c r="D63" s="16"/>
      <c r="E63" s="52"/>
      <c r="F63" s="16"/>
    </row>
    <row r="64" spans="2:6" x14ac:dyDescent="0.3">
      <c r="B64" s="16"/>
      <c r="C64" s="16"/>
      <c r="D64" s="16"/>
      <c r="E64" s="52"/>
      <c r="F64" s="16"/>
    </row>
    <row r="65" spans="2:6" x14ac:dyDescent="0.3">
      <c r="B65" s="16"/>
      <c r="C65" s="16"/>
      <c r="D65" s="16"/>
      <c r="E65" s="52"/>
      <c r="F65" s="16"/>
    </row>
    <row r="66" spans="2:6" x14ac:dyDescent="0.3">
      <c r="B66" s="16"/>
      <c r="C66" s="16"/>
      <c r="D66" s="16"/>
      <c r="E66" s="52"/>
      <c r="F66" s="16"/>
    </row>
    <row r="67" spans="2:6" x14ac:dyDescent="0.3">
      <c r="B67" s="16"/>
      <c r="C67" s="16"/>
      <c r="D67" s="16"/>
      <c r="E67" s="52"/>
      <c r="F67" s="16"/>
    </row>
    <row r="68" spans="2:6" x14ac:dyDescent="0.3">
      <c r="B68" s="16"/>
      <c r="C68" s="16"/>
      <c r="D68" s="16"/>
      <c r="E68" s="52"/>
      <c r="F68" s="16"/>
    </row>
    <row r="69" spans="2:6" x14ac:dyDescent="0.3">
      <c r="B69" s="16"/>
      <c r="C69" s="16"/>
      <c r="D69" s="16"/>
      <c r="E69" s="52"/>
      <c r="F69" s="16"/>
    </row>
    <row r="70" spans="2:6" x14ac:dyDescent="0.3">
      <c r="B70" s="16"/>
      <c r="C70" s="16"/>
      <c r="D70" s="16"/>
      <c r="E70" s="52"/>
      <c r="F70" s="16"/>
    </row>
    <row r="71" spans="2:6" x14ac:dyDescent="0.3">
      <c r="B71" s="16"/>
      <c r="C71" s="16"/>
      <c r="D71" s="16"/>
      <c r="E71" s="52"/>
      <c r="F71" s="16"/>
    </row>
    <row r="72" spans="2:6" x14ac:dyDescent="0.3">
      <c r="B72" s="16"/>
      <c r="C72" s="16"/>
      <c r="D72" s="16"/>
      <c r="E72" s="52"/>
      <c r="F72" s="16"/>
    </row>
    <row r="73" spans="2:6" x14ac:dyDescent="0.3">
      <c r="B73" s="16"/>
      <c r="C73" s="16"/>
      <c r="D73" s="16"/>
      <c r="E73" s="52"/>
      <c r="F73" s="16"/>
    </row>
    <row r="74" spans="2:6" x14ac:dyDescent="0.3">
      <c r="B74" s="16"/>
      <c r="C74" s="16"/>
      <c r="D74" s="16"/>
      <c r="E74" s="52"/>
      <c r="F74" s="16"/>
    </row>
    <row r="75" spans="2:6" x14ac:dyDescent="0.3">
      <c r="B75" s="16"/>
      <c r="C75" s="16"/>
      <c r="D75" s="16"/>
      <c r="E75" s="52"/>
      <c r="F75" s="16"/>
    </row>
    <row r="76" spans="2:6" x14ac:dyDescent="0.3">
      <c r="B76" s="16"/>
      <c r="C76" s="16"/>
      <c r="D76" s="16"/>
      <c r="E76" s="52"/>
      <c r="F76" s="16"/>
    </row>
  </sheetData>
  <mergeCells count="5">
    <mergeCell ref="B8:F9"/>
    <mergeCell ref="B11:B12"/>
    <mergeCell ref="C11:G11"/>
    <mergeCell ref="H11:L11"/>
    <mergeCell ref="M11:Q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4:G22"/>
  <sheetViews>
    <sheetView topLeftCell="A7" zoomScale="115" zoomScaleNormal="115" workbookViewId="0">
      <selection activeCell="F22" sqref="F22"/>
    </sheetView>
  </sheetViews>
  <sheetFormatPr defaultRowHeight="14.4" x14ac:dyDescent="0.3"/>
  <cols>
    <col min="1" max="3" width="8.88671875" style="2"/>
    <col min="4" max="6" width="18.109375" style="30" customWidth="1"/>
    <col min="7" max="16384" width="8.88671875" style="2"/>
  </cols>
  <sheetData>
    <row r="4" spans="3:7" ht="15" thickBot="1" x14ac:dyDescent="0.35"/>
    <row r="5" spans="3:7" x14ac:dyDescent="0.3">
      <c r="C5" s="90" t="s">
        <v>34</v>
      </c>
      <c r="D5" s="91"/>
      <c r="E5" s="91"/>
      <c r="F5" s="91"/>
      <c r="G5" s="92"/>
    </row>
    <row r="6" spans="3:7" ht="15" thickBot="1" x14ac:dyDescent="0.35">
      <c r="C6" s="93"/>
      <c r="D6" s="94"/>
      <c r="E6" s="94"/>
      <c r="F6" s="94"/>
      <c r="G6" s="95"/>
    </row>
    <row r="8" spans="3:7" x14ac:dyDescent="0.3">
      <c r="C8" s="19" t="s">
        <v>0</v>
      </c>
      <c r="D8" s="31" t="s">
        <v>1</v>
      </c>
      <c r="E8" s="31" t="s">
        <v>2</v>
      </c>
      <c r="F8" s="31" t="s">
        <v>3</v>
      </c>
    </row>
    <row r="9" spans="3:7" x14ac:dyDescent="0.3">
      <c r="C9" s="5">
        <v>1</v>
      </c>
      <c r="D9" s="60">
        <f>'Sales Forecast'!R13</f>
        <v>8750000</v>
      </c>
      <c r="E9" s="60">
        <f>'Expense Forecast'!G13</f>
        <v>11500000</v>
      </c>
      <c r="F9" s="60">
        <f>SUM(D9-E9)-'Startup Cost'!D25</f>
        <v>-8900000</v>
      </c>
    </row>
    <row r="10" spans="3:7" x14ac:dyDescent="0.3">
      <c r="C10" s="5">
        <v>2</v>
      </c>
      <c r="D10" s="60">
        <f>'Sales Forecast'!R14</f>
        <v>13100000</v>
      </c>
      <c r="E10" s="60">
        <f>'Expense Forecast'!G14</f>
        <v>13535000</v>
      </c>
      <c r="F10" s="60">
        <f>SUM(D10-E10)-'Startup Cost'!$J$13</f>
        <v>-4435000</v>
      </c>
    </row>
    <row r="11" spans="3:7" x14ac:dyDescent="0.3">
      <c r="C11" s="5">
        <v>3</v>
      </c>
      <c r="D11" s="60">
        <f>'Sales Forecast'!R15</f>
        <v>17450000</v>
      </c>
      <c r="E11" s="60">
        <f>'Expense Forecast'!G15</f>
        <v>15570000</v>
      </c>
      <c r="F11" s="60">
        <f>SUM(D11-E11)-'Startup Cost'!$J$13</f>
        <v>-2120000</v>
      </c>
    </row>
    <row r="12" spans="3:7" x14ac:dyDescent="0.3">
      <c r="C12" s="5">
        <v>4</v>
      </c>
      <c r="D12" s="60">
        <f>'Sales Forecast'!R16</f>
        <v>21800000</v>
      </c>
      <c r="E12" s="60">
        <f>'Expense Forecast'!G16</f>
        <v>17605000</v>
      </c>
      <c r="F12" s="60">
        <f>SUM(D12-E12)-'Startup Cost'!$J$13</f>
        <v>195000</v>
      </c>
    </row>
    <row r="13" spans="3:7" x14ac:dyDescent="0.3">
      <c r="C13" s="5">
        <v>5</v>
      </c>
      <c r="D13" s="60">
        <f>'Sales Forecast'!R17</f>
        <v>26150000</v>
      </c>
      <c r="E13" s="60">
        <f>'Expense Forecast'!G17</f>
        <v>19640000</v>
      </c>
      <c r="F13" s="60">
        <f>SUM(D13-E13)-'Startup Cost'!$J$13</f>
        <v>2510000</v>
      </c>
    </row>
    <row r="14" spans="3:7" x14ac:dyDescent="0.3">
      <c r="C14" s="5">
        <v>6</v>
      </c>
      <c r="D14" s="60">
        <f>'Sales Forecast'!R18</f>
        <v>30500000</v>
      </c>
      <c r="E14" s="60">
        <f>'Expense Forecast'!G18</f>
        <v>21675000</v>
      </c>
      <c r="F14" s="60">
        <f>SUM(D14-E14)-'Startup Cost'!$J$13</f>
        <v>4825000</v>
      </c>
    </row>
    <row r="15" spans="3:7" x14ac:dyDescent="0.3">
      <c r="C15" s="5">
        <v>7</v>
      </c>
      <c r="D15" s="60">
        <f>'Sales Forecast'!R19</f>
        <v>34850000</v>
      </c>
      <c r="E15" s="60">
        <f>'Expense Forecast'!G19</f>
        <v>23710000</v>
      </c>
      <c r="F15" s="60">
        <f>SUM(D15-E15)-'Startup Cost'!D25</f>
        <v>4990000</v>
      </c>
    </row>
    <row r="16" spans="3:7" x14ac:dyDescent="0.3">
      <c r="C16" s="5">
        <v>8</v>
      </c>
      <c r="D16" s="60">
        <f>'Sales Forecast'!R20</f>
        <v>39200000</v>
      </c>
      <c r="E16" s="60">
        <f>'Expense Forecast'!G20</f>
        <v>25745000</v>
      </c>
      <c r="F16" s="60">
        <f>SUM(D16-E16)-'Startup Cost'!$J$13</f>
        <v>9455000</v>
      </c>
    </row>
    <row r="17" spans="3:6" x14ac:dyDescent="0.3">
      <c r="C17" s="5">
        <v>9</v>
      </c>
      <c r="D17" s="60">
        <f>'Sales Forecast'!R21</f>
        <v>43550000</v>
      </c>
      <c r="E17" s="60">
        <f>'Expense Forecast'!G21</f>
        <v>27780000</v>
      </c>
      <c r="F17" s="60">
        <f>SUM(D17-E17)-'Startup Cost'!$J$13</f>
        <v>11770000</v>
      </c>
    </row>
    <row r="18" spans="3:6" x14ac:dyDescent="0.3">
      <c r="C18" s="5">
        <v>10</v>
      </c>
      <c r="D18" s="60">
        <f>'Sales Forecast'!R22</f>
        <v>47900000</v>
      </c>
      <c r="E18" s="60">
        <f>'Expense Forecast'!G22</f>
        <v>29815000</v>
      </c>
      <c r="F18" s="60">
        <f>SUM(D18-E18)-'Startup Cost'!$J$13</f>
        <v>14085000</v>
      </c>
    </row>
    <row r="19" spans="3:6" x14ac:dyDescent="0.3">
      <c r="C19" s="5">
        <v>11</v>
      </c>
      <c r="D19" s="60">
        <f>'Sales Forecast'!R23</f>
        <v>52250000</v>
      </c>
      <c r="E19" s="60">
        <f>'Expense Forecast'!G23</f>
        <v>31850000</v>
      </c>
      <c r="F19" s="60">
        <f>SUM(D19-E19)-'Startup Cost'!$J$13</f>
        <v>16400000</v>
      </c>
    </row>
    <row r="20" spans="3:6" x14ac:dyDescent="0.3">
      <c r="C20" s="5">
        <v>12</v>
      </c>
      <c r="D20" s="60">
        <f>'Sales Forecast'!R24</f>
        <v>56600000</v>
      </c>
      <c r="E20" s="60">
        <f>'Expense Forecast'!G24</f>
        <v>33885000</v>
      </c>
      <c r="F20" s="60">
        <f>SUM(D20-E20)-'Startup Cost'!$J$13</f>
        <v>18715000</v>
      </c>
    </row>
    <row r="21" spans="3:6" x14ac:dyDescent="0.3">
      <c r="D21" s="70"/>
      <c r="E21" s="70"/>
      <c r="F21" s="70"/>
    </row>
    <row r="22" spans="3:6" x14ac:dyDescent="0.3">
      <c r="E22" s="33" t="s">
        <v>15</v>
      </c>
      <c r="F22" s="70">
        <f>SUM(F9:F20)</f>
        <v>67490000</v>
      </c>
    </row>
  </sheetData>
  <mergeCells count="1">
    <mergeCell ref="C5:G6"/>
  </mergeCells>
  <conditionalFormatting sqref="F9:F20">
    <cfRule type="cellIs" dxfId="1" priority="1" operator="greaterThan">
      <formula>0</formula>
    </cfRule>
    <cfRule type="cellIs" dxfId="0" priority="2" operator="lessThan">
      <formula>0</formula>
    </cfRule>
  </conditionalFormatting>
  <pageMargins left="0.75" right="0.75" top="1" bottom="1" header="0.5" footer="0.5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L31" sqref="L31"/>
    </sheetView>
  </sheetViews>
  <sheetFormatPr defaultRowHeight="14.4" x14ac:dyDescent="0.3"/>
  <cols>
    <col min="1" max="16384" width="8.88671875" style="1"/>
  </cols>
  <sheetData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D5:Q34"/>
  <sheetViews>
    <sheetView tabSelected="1" topLeftCell="C13" zoomScale="115" zoomScaleNormal="115" workbookViewId="0">
      <selection activeCell="L38" sqref="L38"/>
    </sheetView>
  </sheetViews>
  <sheetFormatPr defaultRowHeight="14.4" x14ac:dyDescent="0.3"/>
  <cols>
    <col min="1" max="1" width="8.88671875" style="2"/>
    <col min="2" max="2" width="6.88671875" style="2" customWidth="1"/>
    <col min="3" max="3" width="7.6640625" style="2" customWidth="1"/>
    <col min="4" max="4" width="13.6640625" style="2" customWidth="1"/>
    <col min="5" max="5" width="15.77734375" style="2" customWidth="1"/>
    <col min="6" max="6" width="19.77734375" style="28" customWidth="1"/>
    <col min="7" max="7" width="13.21875" style="3" customWidth="1"/>
    <col min="8" max="8" width="13.21875" style="30" customWidth="1"/>
    <col min="9" max="11" width="8.88671875" style="2"/>
    <col min="12" max="12" width="25.6640625" style="2" customWidth="1"/>
    <col min="13" max="13" width="21.88671875" style="2" customWidth="1"/>
    <col min="14" max="14" width="18" style="3" customWidth="1"/>
    <col min="15" max="15" width="17.6640625" style="3" customWidth="1"/>
    <col min="16" max="16" width="8.88671875" style="28" customWidth="1"/>
    <col min="17" max="17" width="14.21875" style="28" customWidth="1"/>
    <col min="18" max="16384" width="8.88671875" style="2"/>
  </cols>
  <sheetData>
    <row r="5" spans="4:15" x14ac:dyDescent="0.3">
      <c r="E5" s="103" t="s">
        <v>35</v>
      </c>
      <c r="F5" s="104"/>
      <c r="G5" s="104"/>
      <c r="H5" s="104"/>
      <c r="I5" s="104"/>
      <c r="J5" s="104"/>
      <c r="K5" s="104"/>
      <c r="L5" s="104"/>
      <c r="M5" s="104"/>
      <c r="N5" s="105"/>
    </row>
    <row r="6" spans="4:15" x14ac:dyDescent="0.3">
      <c r="E6" s="106"/>
      <c r="F6" s="107"/>
      <c r="G6" s="107"/>
      <c r="H6" s="107"/>
      <c r="I6" s="107"/>
      <c r="J6" s="107"/>
      <c r="K6" s="107"/>
      <c r="L6" s="107"/>
      <c r="M6" s="107"/>
      <c r="N6" s="108"/>
    </row>
    <row r="9" spans="4:15" x14ac:dyDescent="0.3">
      <c r="D9" s="24" t="s">
        <v>36</v>
      </c>
      <c r="E9" s="24" t="s">
        <v>37</v>
      </c>
      <c r="F9" s="24" t="s">
        <v>91</v>
      </c>
      <c r="G9" s="42" t="s">
        <v>90</v>
      </c>
      <c r="H9" s="43" t="s">
        <v>61</v>
      </c>
      <c r="K9" s="24" t="s">
        <v>36</v>
      </c>
      <c r="L9" s="24" t="s">
        <v>37</v>
      </c>
      <c r="M9" s="24" t="s">
        <v>91</v>
      </c>
      <c r="N9" s="42" t="s">
        <v>90</v>
      </c>
      <c r="O9" s="42" t="s">
        <v>61</v>
      </c>
    </row>
    <row r="10" spans="4:15" x14ac:dyDescent="0.3">
      <c r="D10" s="25">
        <v>1</v>
      </c>
      <c r="E10" s="25" t="s">
        <v>39</v>
      </c>
      <c r="F10" s="25">
        <v>5</v>
      </c>
      <c r="G10" s="44">
        <v>4500</v>
      </c>
      <c r="H10" s="45">
        <f>G10*F10</f>
        <v>22500</v>
      </c>
      <c r="K10" s="25">
        <v>26</v>
      </c>
      <c r="L10" s="25" t="s">
        <v>65</v>
      </c>
      <c r="M10" s="25"/>
      <c r="N10" s="44"/>
      <c r="O10" s="44">
        <f>N10*M10</f>
        <v>0</v>
      </c>
    </row>
    <row r="11" spans="4:15" x14ac:dyDescent="0.3">
      <c r="D11" s="26">
        <v>2</v>
      </c>
      <c r="E11" s="26" t="s">
        <v>40</v>
      </c>
      <c r="F11" s="26">
        <v>1</v>
      </c>
      <c r="G11" s="46">
        <v>24000</v>
      </c>
      <c r="H11" s="47">
        <f>G11*F11</f>
        <v>24000</v>
      </c>
      <c r="K11" s="26">
        <v>27</v>
      </c>
      <c r="L11" s="26" t="s">
        <v>66</v>
      </c>
      <c r="M11" s="26"/>
      <c r="N11" s="46"/>
      <c r="O11" s="46">
        <f>N11*M11</f>
        <v>0</v>
      </c>
    </row>
    <row r="12" spans="4:15" x14ac:dyDescent="0.3">
      <c r="D12" s="25">
        <v>3</v>
      </c>
      <c r="E12" s="25" t="s">
        <v>41</v>
      </c>
      <c r="F12" s="25">
        <v>1</v>
      </c>
      <c r="G12" s="44">
        <v>15500</v>
      </c>
      <c r="H12" s="45">
        <f t="shared" ref="H12:H34" si="0">G12*F12</f>
        <v>15500</v>
      </c>
      <c r="K12" s="25">
        <v>28</v>
      </c>
      <c r="L12" s="25" t="s">
        <v>67</v>
      </c>
      <c r="M12" s="25"/>
      <c r="N12" s="44"/>
      <c r="O12" s="44">
        <f t="shared" ref="O12:O34" si="1">N12*M12</f>
        <v>0</v>
      </c>
    </row>
    <row r="13" spans="4:15" x14ac:dyDescent="0.3">
      <c r="D13" s="26">
        <v>4</v>
      </c>
      <c r="E13" s="26" t="s">
        <v>42</v>
      </c>
      <c r="F13" s="26">
        <v>1</v>
      </c>
      <c r="G13" s="46">
        <v>7000</v>
      </c>
      <c r="H13" s="47">
        <f t="shared" si="0"/>
        <v>7000</v>
      </c>
      <c r="K13" s="26">
        <v>29</v>
      </c>
      <c r="L13" s="26" t="s">
        <v>68</v>
      </c>
      <c r="M13" s="26"/>
      <c r="N13" s="46"/>
      <c r="O13" s="46">
        <f t="shared" si="1"/>
        <v>0</v>
      </c>
    </row>
    <row r="14" spans="4:15" x14ac:dyDescent="0.3">
      <c r="D14" s="25">
        <v>5</v>
      </c>
      <c r="E14" s="25" t="s">
        <v>43</v>
      </c>
      <c r="F14" s="25">
        <v>3</v>
      </c>
      <c r="G14" s="44">
        <v>12000</v>
      </c>
      <c r="H14" s="45">
        <f t="shared" si="0"/>
        <v>36000</v>
      </c>
      <c r="K14" s="25">
        <v>30</v>
      </c>
      <c r="L14" s="25" t="s">
        <v>70</v>
      </c>
      <c r="M14" s="25"/>
      <c r="N14" s="44"/>
      <c r="O14" s="44">
        <f t="shared" si="1"/>
        <v>0</v>
      </c>
    </row>
    <row r="15" spans="4:15" x14ac:dyDescent="0.3">
      <c r="D15" s="26">
        <v>6</v>
      </c>
      <c r="E15" s="26" t="s">
        <v>44</v>
      </c>
      <c r="F15" s="26">
        <v>1</v>
      </c>
      <c r="G15" s="46">
        <v>4000</v>
      </c>
      <c r="H15" s="47">
        <f t="shared" si="0"/>
        <v>4000</v>
      </c>
      <c r="K15" s="26">
        <v>31</v>
      </c>
      <c r="L15" s="26" t="s">
        <v>71</v>
      </c>
      <c r="M15" s="26"/>
      <c r="N15" s="46"/>
      <c r="O15" s="46">
        <f t="shared" si="1"/>
        <v>0</v>
      </c>
    </row>
    <row r="16" spans="4:15" x14ac:dyDescent="0.3">
      <c r="D16" s="25">
        <v>7</v>
      </c>
      <c r="E16" s="25" t="s">
        <v>45</v>
      </c>
      <c r="F16" s="25">
        <v>1</v>
      </c>
      <c r="G16" s="44">
        <v>4000</v>
      </c>
      <c r="H16" s="45">
        <f t="shared" si="0"/>
        <v>4000</v>
      </c>
      <c r="K16" s="25">
        <v>32</v>
      </c>
      <c r="L16" s="25" t="s">
        <v>73</v>
      </c>
      <c r="M16" s="25"/>
      <c r="N16" s="44"/>
      <c r="O16" s="44">
        <f t="shared" si="1"/>
        <v>0</v>
      </c>
    </row>
    <row r="17" spans="4:15" x14ac:dyDescent="0.3">
      <c r="D17" s="26">
        <v>8</v>
      </c>
      <c r="E17" s="26" t="s">
        <v>46</v>
      </c>
      <c r="F17" s="26">
        <v>1</v>
      </c>
      <c r="G17" s="46">
        <v>3000</v>
      </c>
      <c r="H17" s="47">
        <f t="shared" si="0"/>
        <v>3000</v>
      </c>
      <c r="K17" s="26">
        <v>33</v>
      </c>
      <c r="L17" s="26" t="s">
        <v>74</v>
      </c>
      <c r="M17" s="26"/>
      <c r="N17" s="46"/>
      <c r="O17" s="46">
        <f t="shared" si="1"/>
        <v>0</v>
      </c>
    </row>
    <row r="18" spans="4:15" x14ac:dyDescent="0.3">
      <c r="D18" s="25">
        <v>9</v>
      </c>
      <c r="E18" s="25" t="s">
        <v>47</v>
      </c>
      <c r="F18" s="25"/>
      <c r="G18" s="44"/>
      <c r="H18" s="45">
        <f t="shared" si="0"/>
        <v>0</v>
      </c>
      <c r="K18" s="25">
        <v>34</v>
      </c>
      <c r="L18" s="25" t="s">
        <v>75</v>
      </c>
      <c r="M18" s="25"/>
      <c r="N18" s="44"/>
      <c r="O18" s="44">
        <f t="shared" si="1"/>
        <v>0</v>
      </c>
    </row>
    <row r="19" spans="4:15" x14ac:dyDescent="0.3">
      <c r="D19" s="26">
        <v>10</v>
      </c>
      <c r="E19" s="26" t="s">
        <v>48</v>
      </c>
      <c r="F19" s="26">
        <v>1</v>
      </c>
      <c r="G19" s="46">
        <v>5000</v>
      </c>
      <c r="H19" s="47">
        <f t="shared" si="0"/>
        <v>5000</v>
      </c>
      <c r="K19" s="26">
        <v>35</v>
      </c>
      <c r="L19" s="26" t="s">
        <v>76</v>
      </c>
      <c r="M19" s="26"/>
      <c r="N19" s="46"/>
      <c r="O19" s="46">
        <f t="shared" si="1"/>
        <v>0</v>
      </c>
    </row>
    <row r="20" spans="4:15" x14ac:dyDescent="0.3">
      <c r="D20" s="25">
        <v>11</v>
      </c>
      <c r="E20" s="25" t="s">
        <v>49</v>
      </c>
      <c r="F20" s="25"/>
      <c r="G20" s="44"/>
      <c r="H20" s="45">
        <f t="shared" si="0"/>
        <v>0</v>
      </c>
      <c r="K20" s="25">
        <v>36</v>
      </c>
      <c r="L20" s="25" t="s">
        <v>77</v>
      </c>
      <c r="M20" s="25"/>
      <c r="N20" s="44"/>
      <c r="O20" s="44">
        <f t="shared" si="1"/>
        <v>0</v>
      </c>
    </row>
    <row r="21" spans="4:15" x14ac:dyDescent="0.3">
      <c r="D21" s="26">
        <v>12</v>
      </c>
      <c r="E21" s="26" t="s">
        <v>50</v>
      </c>
      <c r="F21" s="26">
        <v>1</v>
      </c>
      <c r="G21" s="46">
        <v>7000</v>
      </c>
      <c r="H21" s="47">
        <f t="shared" si="0"/>
        <v>7000</v>
      </c>
      <c r="K21" s="26">
        <v>37</v>
      </c>
      <c r="L21" s="26" t="s">
        <v>78</v>
      </c>
      <c r="M21" s="26"/>
      <c r="N21" s="46"/>
      <c r="O21" s="46">
        <f t="shared" si="1"/>
        <v>0</v>
      </c>
    </row>
    <row r="22" spans="4:15" x14ac:dyDescent="0.3">
      <c r="D22" s="25">
        <v>13</v>
      </c>
      <c r="E22" s="25" t="s">
        <v>69</v>
      </c>
      <c r="F22" s="25"/>
      <c r="G22" s="44"/>
      <c r="H22" s="45">
        <f t="shared" si="0"/>
        <v>0</v>
      </c>
      <c r="K22" s="25">
        <v>38</v>
      </c>
      <c r="L22" s="25" t="s">
        <v>54</v>
      </c>
      <c r="M22" s="25"/>
      <c r="N22" s="44"/>
      <c r="O22" s="44">
        <f t="shared" si="1"/>
        <v>0</v>
      </c>
    </row>
    <row r="23" spans="4:15" x14ac:dyDescent="0.3">
      <c r="D23" s="26">
        <v>14</v>
      </c>
      <c r="E23" s="26" t="s">
        <v>51</v>
      </c>
      <c r="F23" s="26">
        <v>5</v>
      </c>
      <c r="G23" s="46">
        <v>7000</v>
      </c>
      <c r="H23" s="47">
        <f t="shared" si="0"/>
        <v>35000</v>
      </c>
      <c r="K23" s="26">
        <v>39</v>
      </c>
      <c r="L23" s="26" t="s">
        <v>64</v>
      </c>
      <c r="M23" s="26"/>
      <c r="N23" s="46"/>
      <c r="O23" s="46">
        <f t="shared" si="1"/>
        <v>0</v>
      </c>
    </row>
    <row r="24" spans="4:15" x14ac:dyDescent="0.3">
      <c r="D24" s="25">
        <v>15</v>
      </c>
      <c r="E24" s="25" t="s">
        <v>72</v>
      </c>
      <c r="F24" s="25"/>
      <c r="G24" s="44"/>
      <c r="H24" s="45">
        <f t="shared" si="0"/>
        <v>0</v>
      </c>
      <c r="K24" s="25">
        <v>40</v>
      </c>
      <c r="L24" s="25" t="s">
        <v>79</v>
      </c>
      <c r="M24" s="25"/>
      <c r="N24" s="44"/>
      <c r="O24" s="44">
        <f t="shared" si="1"/>
        <v>0</v>
      </c>
    </row>
    <row r="25" spans="4:15" x14ac:dyDescent="0.3">
      <c r="D25" s="26">
        <v>16</v>
      </c>
      <c r="E25" s="26" t="s">
        <v>52</v>
      </c>
      <c r="F25" s="26"/>
      <c r="G25" s="46"/>
      <c r="H25" s="47">
        <f t="shared" si="0"/>
        <v>0</v>
      </c>
      <c r="K25" s="26">
        <v>41</v>
      </c>
      <c r="L25" s="26" t="s">
        <v>80</v>
      </c>
      <c r="M25" s="26"/>
      <c r="N25" s="46"/>
      <c r="O25" s="46">
        <f t="shared" si="1"/>
        <v>0</v>
      </c>
    </row>
    <row r="26" spans="4:15" x14ac:dyDescent="0.3">
      <c r="D26" s="25">
        <v>17</v>
      </c>
      <c r="E26" s="25" t="s">
        <v>53</v>
      </c>
      <c r="F26" s="25"/>
      <c r="G26" s="44"/>
      <c r="H26" s="45">
        <f t="shared" si="0"/>
        <v>0</v>
      </c>
      <c r="K26" s="25">
        <v>42</v>
      </c>
      <c r="L26" s="25" t="s">
        <v>81</v>
      </c>
      <c r="M26" s="25"/>
      <c r="N26" s="44"/>
      <c r="O26" s="44">
        <f t="shared" si="1"/>
        <v>0</v>
      </c>
    </row>
    <row r="27" spans="4:15" x14ac:dyDescent="0.3">
      <c r="D27" s="26">
        <v>18</v>
      </c>
      <c r="E27" s="26" t="s">
        <v>55</v>
      </c>
      <c r="F27" s="26"/>
      <c r="G27" s="46"/>
      <c r="H27" s="47">
        <f t="shared" si="0"/>
        <v>0</v>
      </c>
      <c r="K27" s="26">
        <v>43</v>
      </c>
      <c r="L27" s="26" t="s">
        <v>82</v>
      </c>
      <c r="M27" s="26"/>
      <c r="N27" s="46"/>
      <c r="O27" s="46">
        <f t="shared" si="1"/>
        <v>0</v>
      </c>
    </row>
    <row r="28" spans="4:15" x14ac:dyDescent="0.3">
      <c r="D28" s="25">
        <v>19</v>
      </c>
      <c r="E28" s="25" t="s">
        <v>56</v>
      </c>
      <c r="F28" s="25"/>
      <c r="G28" s="44"/>
      <c r="H28" s="45">
        <f t="shared" si="0"/>
        <v>0</v>
      </c>
      <c r="K28" s="25">
        <v>44</v>
      </c>
      <c r="L28" s="25" t="s">
        <v>83</v>
      </c>
      <c r="M28" s="25"/>
      <c r="N28" s="44"/>
      <c r="O28" s="44">
        <f t="shared" si="1"/>
        <v>0</v>
      </c>
    </row>
    <row r="29" spans="4:15" x14ac:dyDescent="0.3">
      <c r="D29" s="26">
        <v>20</v>
      </c>
      <c r="E29" s="26" t="s">
        <v>57</v>
      </c>
      <c r="F29" s="27"/>
      <c r="G29" s="46"/>
      <c r="H29" s="47">
        <f t="shared" si="0"/>
        <v>0</v>
      </c>
      <c r="K29" s="26">
        <v>45</v>
      </c>
      <c r="L29" s="26" t="s">
        <v>84</v>
      </c>
      <c r="M29" s="27"/>
      <c r="N29" s="46"/>
      <c r="O29" s="46">
        <f t="shared" si="1"/>
        <v>0</v>
      </c>
    </row>
    <row r="30" spans="4:15" x14ac:dyDescent="0.3">
      <c r="D30" s="25">
        <v>21</v>
      </c>
      <c r="E30" s="25" t="s">
        <v>58</v>
      </c>
      <c r="F30" s="25"/>
      <c r="G30" s="44"/>
      <c r="H30" s="45">
        <f t="shared" si="0"/>
        <v>0</v>
      </c>
      <c r="K30" s="25">
        <v>46</v>
      </c>
      <c r="L30" s="25" t="s">
        <v>85</v>
      </c>
      <c r="M30" s="25"/>
      <c r="N30" s="44"/>
      <c r="O30" s="44">
        <f t="shared" si="1"/>
        <v>0</v>
      </c>
    </row>
    <row r="31" spans="4:15" x14ac:dyDescent="0.3">
      <c r="D31" s="26">
        <v>22</v>
      </c>
      <c r="E31" s="26" t="s">
        <v>59</v>
      </c>
      <c r="F31" s="26"/>
      <c r="G31" s="46"/>
      <c r="H31" s="47">
        <f t="shared" si="0"/>
        <v>0</v>
      </c>
      <c r="K31" s="26">
        <v>47</v>
      </c>
      <c r="L31" s="26" t="s">
        <v>86</v>
      </c>
      <c r="M31" s="26"/>
      <c r="N31" s="46"/>
      <c r="O31" s="46">
        <f t="shared" si="1"/>
        <v>0</v>
      </c>
    </row>
    <row r="32" spans="4:15" x14ac:dyDescent="0.3">
      <c r="D32" s="25">
        <v>23</v>
      </c>
      <c r="E32" s="25" t="s">
        <v>60</v>
      </c>
      <c r="F32" s="25"/>
      <c r="G32" s="44"/>
      <c r="H32" s="45">
        <f t="shared" si="0"/>
        <v>0</v>
      </c>
      <c r="K32" s="25">
        <v>48</v>
      </c>
      <c r="L32" s="25" t="s">
        <v>87</v>
      </c>
      <c r="M32" s="25"/>
      <c r="N32" s="44"/>
      <c r="O32" s="44">
        <f t="shared" si="1"/>
        <v>0</v>
      </c>
    </row>
    <row r="33" spans="4:15" x14ac:dyDescent="0.3">
      <c r="D33" s="26">
        <v>24</v>
      </c>
      <c r="E33" s="26" t="s">
        <v>62</v>
      </c>
      <c r="F33" s="26"/>
      <c r="G33" s="46"/>
      <c r="H33" s="47">
        <f t="shared" si="0"/>
        <v>0</v>
      </c>
      <c r="K33" s="26">
        <v>49</v>
      </c>
      <c r="L33" s="26" t="s">
        <v>88</v>
      </c>
      <c r="M33" s="26"/>
      <c r="N33" s="46"/>
      <c r="O33" s="46">
        <f t="shared" si="1"/>
        <v>0</v>
      </c>
    </row>
    <row r="34" spans="4:15" x14ac:dyDescent="0.3">
      <c r="D34" s="25">
        <v>25</v>
      </c>
      <c r="E34" s="25" t="s">
        <v>63</v>
      </c>
      <c r="F34" s="25"/>
      <c r="G34" s="44"/>
      <c r="H34" s="45">
        <f t="shared" si="0"/>
        <v>0</v>
      </c>
      <c r="K34" s="25">
        <v>50</v>
      </c>
      <c r="L34" s="25" t="s">
        <v>89</v>
      </c>
      <c r="M34" s="25"/>
      <c r="N34" s="44"/>
      <c r="O34" s="44">
        <f t="shared" si="1"/>
        <v>0</v>
      </c>
    </row>
  </sheetData>
  <mergeCells count="1">
    <mergeCell ref="E5:N6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Startup Cost</vt:lpstr>
      <vt:lpstr>Expense Forecast</vt:lpstr>
      <vt:lpstr>Sales Forecast</vt:lpstr>
      <vt:lpstr>Profit &amp; Loss Projection</vt:lpstr>
      <vt:lpstr>Break-even Analysis</vt:lpstr>
      <vt:lpstr>Calculation Cooking Ingredient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Kenrick Salim</cp:lastModifiedBy>
  <dcterms:created xsi:type="dcterms:W3CDTF">2025-10-01T08:20:35Z</dcterms:created>
  <dcterms:modified xsi:type="dcterms:W3CDTF">2025-10-30T13:33:43Z</dcterms:modified>
</cp:coreProperties>
</file>